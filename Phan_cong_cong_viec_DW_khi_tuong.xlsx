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Theo dõi công việc" sheetId="2" state="visible" r:id="rId4"/>
    <sheet name="Vai trò" sheetId="3" state="visible" r:id="rId5"/>
    <sheet name="Rủi ro" sheetId="4" state="visible" r:id="rId6"/>
  </sheets>
  <definedNames>
    <definedName function="false" hidden="true" localSheetId="1" name="_xlnm._FilterDatabase" vbProcedure="false">'Theo dõi công việc'!$A$4:$O$44</definedName>
  </definedName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<sst xmlns="http://schemas.openxmlformats.org/spreadsheetml/2006/main" count="392" uniqueCount="218">
  <si>
    <t xml:space="preserve">Đề tài: Kho dữ liệu khí tượng đa nguồn – dự báo khả năng mưa miền Bắc</t>
  </si>
  <si>
    <t xml:space="preserve">Bảng tổng hợp tiến độ nhóm 3 người (tự cập nhật từ sheet "Theo dõi công việc")</t>
  </si>
  <si>
    <t xml:space="preserve">Mã</t>
  </si>
  <si>
    <t xml:space="preserve">Họ tên (điền)</t>
  </si>
  <si>
    <t xml:space="preserve">Vai trò</t>
  </si>
  <si>
    <t xml:space="preserve">Số việc</t>
  </si>
  <si>
    <t xml:space="preserve">Hoàn thành</t>
  </si>
  <si>
    <t xml:space="preserve">Đang làm</t>
  </si>
  <si>
    <t xml:space="preserve">Bị chặn</t>
  </si>
  <si>
    <t xml:space="preserve">Quá hạn</t>
  </si>
  <si>
    <t xml:space="preserve">% tiến độ</t>
  </si>
  <si>
    <t xml:space="preserve">N1</t>
  </si>
  <si>
    <t xml:space="preserve">Người 1</t>
  </si>
  <si>
    <t xml:space="preserve">Data Engineer</t>
  </si>
  <si>
    <t xml:space="preserve">N2</t>
  </si>
  <si>
    <t xml:space="preserve">Người 2</t>
  </si>
  <si>
    <t xml:space="preserve">DW &amp; BI</t>
  </si>
  <si>
    <t xml:space="preserve">N3</t>
  </si>
  <si>
    <t xml:space="preserve">Người 3</t>
  </si>
  <si>
    <t xml:space="preserve">Data Mining</t>
  </si>
  <si>
    <t xml:space="preserve">Cả nhóm</t>
  </si>
  <si>
    <t xml:space="preserve">Việc chung</t>
  </si>
  <si>
    <t xml:space="preserve">Tổng</t>
  </si>
  <si>
    <t xml:space="preserve">Ngày bắt đầu tuần 1 (thứ Hai):</t>
  </si>
  <si>
    <t xml:space="preserve">Giả định: thứ Hai tuần sau. Sửa ô này theo lịch học thực tế, mọi ngày bắt đầu/hạn chót sẽ tự đổi.</t>
  </si>
  <si>
    <t xml:space="preserve">Tiến độ theo tuần</t>
  </si>
  <si>
    <t xml:space="preserve">Tuần</t>
  </si>
  <si>
    <t xml:space="preserve">Từ ngày</t>
  </si>
  <si>
    <t xml:space="preserve">Đến ngày</t>
  </si>
  <si>
    <t xml:space="preserve">Việc hết hạn trong tuần</t>
  </si>
  <si>
    <t xml:space="preserve">Đã hoàn thành</t>
  </si>
  <si>
    <t xml:space="preserve">% hoàn thành</t>
  </si>
  <si>
    <t xml:space="preserve">Hướng dẫn</t>
  </si>
  <si>
    <t xml:space="preserve">Ô nền vàng</t>
  </si>
  <si>
    <t xml:space="preserve">là ô cần điền/cập nhật: họ tên thành viên, ngày bắt đầu tuần 1, trạng thái, % hoàn thành, ghi chú.</t>
  </si>
  <si>
    <t xml:space="preserve">Ô nền trắng</t>
  </si>
  <si>
    <t xml:space="preserve">là công thức tự tính, không cần sửa.</t>
  </si>
  <si>
    <t xml:space="preserve">Trạng thái</t>
  </si>
  <si>
    <t xml:space="preserve">chọn từ danh sách: Chưa bắt đầu / Đang làm / Hoàn thành / Bị chặn. Khi chọn Hoàn thành, đặt % = 100%.</t>
  </si>
  <si>
    <t xml:space="preserve">Mã phụ trách</t>
  </si>
  <si>
    <t xml:space="preserve">N1, N2, N3 hoặc Cả nhóm; tên người tự hiện theo bảng thành viên ở trên.</t>
  </si>
  <si>
    <t xml:space="preserve">là việc có hạn chót trước hôm nay mà chưa Hoàn thành (dòng tô đỏ nhạt).</t>
  </si>
  <si>
    <t xml:space="preserve">Thêm việc</t>
  </si>
  <si>
    <t xml:space="preserve">điền tiếp ở cuối sheet Theo dõi công việc (tối đa dòng 200), copy công thức cột H, K, L từ dòng trên.</t>
  </si>
  <si>
    <t xml:space="preserve">Theo dõi công việc</t>
  </si>
  <si>
    <t xml:space="preserve">Ô nền vàng: cập nhật trạng thái, % hoàn thành và ghi chú. Ngày tự tính từ 'Tổng quan'!E11.</t>
  </si>
  <si>
    <t xml:space="preserve">ID</t>
  </si>
  <si>
    <t xml:space="preserve">Tuần bắt đầu</t>
  </si>
  <si>
    <t xml:space="preserve">Tuần kết thúc</t>
  </si>
  <si>
    <t xml:space="preserve">Giai đoạn</t>
  </si>
  <si>
    <t xml:space="preserve">Hạng mục</t>
  </si>
  <si>
    <t xml:space="preserve">Công việc</t>
  </si>
  <si>
    <t xml:space="preserve">Người phụ trách</t>
  </si>
  <si>
    <t xml:space="preserve">Hỗ trợ</t>
  </si>
  <si>
    <t xml:space="preserve">Đầu ra</t>
  </si>
  <si>
    <t xml:space="preserve">Ngày bắt đầu</t>
  </si>
  <si>
    <t xml:space="preserve">Hạn chót</t>
  </si>
  <si>
    <t xml:space="preserve">Ghi chú</t>
  </si>
  <si>
    <t xml:space="preserve">Tuần 1</t>
  </si>
  <si>
    <t xml:space="preserve">Hạ tầng</t>
  </si>
  <si>
    <t xml:space="preserve">Dựng Docker Compose (MinIO, Airflow, PostgreSQL), tạo repo Git</t>
  </si>
  <si>
    <t xml:space="preserve">docker-compose.yml chạy được trên máy cả nhóm</t>
  </si>
  <si>
    <t xml:space="preserve">Chưa bắt đầu</t>
  </si>
  <si>
    <t xml:space="preserve">Data Lake</t>
  </si>
  <si>
    <t xml:space="preserve">Tạo bucket bronze / silver / gold trên MinIO, quy ước đặt tên file</t>
  </si>
  <si>
    <t xml:space="preserve">3 bucket + quy ước thư mục</t>
  </si>
  <si>
    <t xml:space="preserve">Data Warehouse</t>
  </si>
  <si>
    <t xml:space="preserve">Phác thảo Star Schema: Fact, Dim, grain</t>
  </si>
  <si>
    <t xml:space="preserve">Sơ đồ Star Schema bản nháp</t>
  </si>
  <si>
    <t xml:space="preserve">Nguồn dữ liệu</t>
  </si>
  <si>
    <t xml:space="preserve">Tải GeoJSON địa giới Việt Nam (ranh giới sau sáp nhập 1/7/2025)</t>
  </si>
  <si>
    <t xml:space="preserve">File GeoJSON trong Bronze</t>
  </si>
  <si>
    <t xml:space="preserve">Đăng ký Copernicus CDS, gửi yêu cầu tải ERA5 (vùng miền Bắc, chỉ các biến cần dùng)</t>
  </si>
  <si>
    <t xml:space="preserve">Yêu cầu tải đã vào hàng đợi</t>
  </si>
  <si>
    <t xml:space="preserve">Thống nhất</t>
  </si>
  <si>
    <t xml:space="preserve">Chốt schema chuẩn tầng Silver: tên cột, đơn vị, timestamp UTC</t>
  </si>
  <si>
    <t xml:space="preserve">File hợp đồng dữ liệu trong repo</t>
  </si>
  <si>
    <t xml:space="preserve">Chốt định nghĩa nhãn RainNext24h: nguồn ưu tiên, ngưỡng mm</t>
  </si>
  <si>
    <t xml:space="preserve">Định nghĩa nhãn ghi trong repo</t>
  </si>
  <si>
    <t xml:space="preserve">Tuần 2–3</t>
  </si>
  <si>
    <t xml:space="preserve">Thu thập Open-Meteo (REST API, JSON) → Bronze</t>
  </si>
  <si>
    <t xml:space="preserve">Dữ liệu 10 năm × 8 địa điểm</t>
  </si>
  <si>
    <t xml:space="preserve">Thu thập Meteostat / NOAA (CSV/Text) → Bronze</t>
  </si>
  <si>
    <t xml:space="preserve">Dữ liệu trạm thô</t>
  </si>
  <si>
    <t xml:space="preserve">ETL – Silver</t>
  </si>
  <si>
    <t xml:space="preserve">Làm sạch Open-Meteo và Meteostat → Silver: đơn vị, UTC, trùng lặp, giá trị thiếu</t>
  </si>
  <si>
    <t xml:space="preserve">Bảng Silver theo schema chuẩn</t>
  </si>
  <si>
    <t xml:space="preserve">DimLocation (tỉnh cũ + tỉnh mới), DimStation, gán trạm theo khoảng cách bằng GeoPandas</t>
  </si>
  <si>
    <t xml:space="preserve">Bảng DimLocation, DimStation</t>
  </si>
  <si>
    <t xml:space="preserve">DimDate, DimTime, DimSource</t>
  </si>
  <si>
    <t xml:space="preserve">Các bảng Dim thời gian và nguồn</t>
  </si>
  <si>
    <t xml:space="preserve">Viết DDL PostgreSQL cho toàn bộ Star Schema</t>
  </si>
  <si>
    <t xml:space="preserve">Script DDL</t>
  </si>
  <si>
    <t xml:space="preserve">Đọc ERA5 NetCDF bằng xarray → Bronze</t>
  </si>
  <si>
    <t xml:space="preserve">File NetCDF trong Bronze</t>
  </si>
  <si>
    <t xml:space="preserve">ERA5 → Silver: đổi đơn vị (K, m, Pa), tính gió từ u/v, khử cộng dồn mưa, lấy ô lưới gần nhất</t>
  </si>
  <si>
    <t xml:space="preserve">Bảng Silver ERA5 theo schema chuẩn</t>
  </si>
  <si>
    <t xml:space="preserve">Tuần 4–5</t>
  </si>
  <si>
    <t xml:space="preserve">ETL – Gold</t>
  </si>
  <si>
    <t xml:space="preserve">Gộp Silver → Gold, pivot các nguồn cho ML</t>
  </si>
  <si>
    <t xml:space="preserve">Bảng Gold thống nhất</t>
  </si>
  <si>
    <t xml:space="preserve">Orchestration</t>
  </si>
  <si>
    <t xml:space="preserve">DAG Airflow chạy trọn luồng Bronze → Silver → Gold → DW</t>
  </si>
  <si>
    <t xml:space="preserve">DAG chạy thành công</t>
  </si>
  <si>
    <t xml:space="preserve">Nạp FactWeatherObservation với khóa thay thế</t>
  </si>
  <si>
    <t xml:space="preserve">Kho dữ liệu đủ 10 năm</t>
  </si>
  <si>
    <t xml:space="preserve">OLAP</t>
  </si>
  <si>
    <t xml:space="preserve">Viết view OLAP: roll-up ngày/tháng/năm, theo tỉnh, theo nguồn</t>
  </si>
  <si>
    <t xml:space="preserve">Các view SQL</t>
  </si>
  <si>
    <t xml:space="preserve">BI</t>
  </si>
  <si>
    <t xml:space="preserve">Dashboard Power BI bản 1</t>
  </si>
  <si>
    <t xml:space="preserve">File .pbix bản 1</t>
  </si>
  <si>
    <t xml:space="preserve">Khai phá dữ liệu</t>
  </si>
  <si>
    <t xml:space="preserve">EDA: phân bố mưa theo mùa, tương quan các biến</t>
  </si>
  <si>
    <t xml:space="preserve">Notebook EDA</t>
  </si>
  <si>
    <t xml:space="preserve">Tạo nhãn RainNext24h</t>
  </si>
  <si>
    <t xml:space="preserve">Cột nhãn trong tập huấn luyện</t>
  </si>
  <si>
    <t xml:space="preserve">Xây đặc trưng: độ trễ, trung bình trượt, biến thiên áp suất 3h/24h, giờ/tháng</t>
  </si>
  <si>
    <t xml:space="preserve">Bộ đặc trưng, không rò rỉ dữ liệu</t>
  </si>
  <si>
    <t xml:space="preserve">Tuần 6–7</t>
  </si>
  <si>
    <t xml:space="preserve">Chất lượng dữ liệu</t>
  </si>
  <si>
    <t xml:space="preserve">Bước kiểm tra trong Airflow: đếm dòng, % thiếu, khoảng giá trị hợp lệ</t>
  </si>
  <si>
    <t xml:space="preserve">Task kiểm tra trong DAG</t>
  </si>
  <si>
    <t xml:space="preserve">DAG cập nhật tăng dần (incremental)</t>
  </si>
  <si>
    <t xml:space="preserve">DAG chạy theo lịch</t>
  </si>
  <si>
    <t xml:space="preserve">Index và tối ưu truy vấn DW</t>
  </si>
  <si>
    <t xml:space="preserve">Thời gian truy vấn dashboard chấp nhận được</t>
  </si>
  <si>
    <t xml:space="preserve">Dashboard đầy đủ: bản đồ, so sánh khu vực và nguồn, Roll-up / Drill-down / Slice / Dice</t>
  </si>
  <si>
    <t xml:space="preserve">Dashboard hoàn chỉnh</t>
  </si>
  <si>
    <t xml:space="preserve">Huấn luyện CART, tinh chỉnh max_depth, ccp_alpha, class_weight trên tập 2024</t>
  </si>
  <si>
    <t xml:space="preserve">Mô hình tốt nhất trên validation</t>
  </si>
  <si>
    <t xml:space="preserve">Đánh giá mô hình</t>
  </si>
  <si>
    <t xml:space="preserve">Kiểm tra trên tập 2025: confusion matrix, Accuracy, Precision, Recall, F1; chỉnh ngưỡng xác suất</t>
  </si>
  <si>
    <t xml:space="preserve">Bảng chỉ số đánh giá</t>
  </si>
  <si>
    <t xml:space="preserve">Vẽ và diễn giải cây quyết định, trích luật phân loại</t>
  </si>
  <si>
    <t xml:space="preserve">Hình cây + luật</t>
  </si>
  <si>
    <t xml:space="preserve">Tuần 8</t>
  </si>
  <si>
    <t xml:space="preserve">Tích hợp ML</t>
  </si>
  <si>
    <t xml:space="preserve">Thiết kế FactWeatherPrediction, DimModel; ghi kết quả dự báo vào DW</t>
  </si>
  <si>
    <t xml:space="preserve">Bảng dự báo có dữ liệu</t>
  </si>
  <si>
    <t xml:space="preserve">DAG chấm điểm dự báo</t>
  </si>
  <si>
    <t xml:space="preserve">DAG dự báo chạy được</t>
  </si>
  <si>
    <t xml:space="preserve">Trang dashboard dự báo so với thực tế</t>
  </si>
  <si>
    <t xml:space="preserve">Trang dự báo trong Power BI</t>
  </si>
  <si>
    <t xml:space="preserve">Tuần 9</t>
  </si>
  <si>
    <t xml:space="preserve">Kiểm thử</t>
  </si>
  <si>
    <t xml:space="preserve">Chạy lại toàn bộ pipeline trên máy sạch, sửa lỗi</t>
  </si>
  <si>
    <t xml:space="preserve">Pipeline chạy từ đầu đến cuối</t>
  </si>
  <si>
    <t xml:space="preserve">Đối chiếu số liệu dashboard với truy vấn SQL</t>
  </si>
  <si>
    <t xml:space="preserve">Biên bản đối chiếu</t>
  </si>
  <si>
    <t xml:space="preserve">Phân tích lỗi mô hình, so sánh các ngưỡng</t>
  </si>
  <si>
    <t xml:space="preserve">Phần phân tích lỗi</t>
  </si>
  <si>
    <t xml:space="preserve">Tuần 10</t>
  </si>
  <si>
    <t xml:space="preserve">Báo cáo</t>
  </si>
  <si>
    <t xml:space="preserve">Chương: nguồn dữ liệu, Data Lake, ETL</t>
  </si>
  <si>
    <t xml:space="preserve">Chương: Data Warehouse, OLAP, dashboard</t>
  </si>
  <si>
    <t xml:space="preserve">Chương: khai phá dữ liệu, đánh giá mô hình</t>
  </si>
  <si>
    <t xml:space="preserve">Mở đầu, kết luận, slide, tập demo</t>
  </si>
  <si>
    <t xml:space="preserve">Báo cáo + slide hoàn chỉnh</t>
  </si>
  <si>
    <t xml:space="preserve">Phân công vai trò</t>
  </si>
  <si>
    <t xml:space="preserve">Người 1 – Data Engineer</t>
  </si>
  <si>
    <t xml:space="preserve">Người 2 – DW &amp; BI</t>
  </si>
  <si>
    <t xml:space="preserve">Người 3 – Data Mining</t>
  </si>
  <si>
    <t xml:space="preserve">Docker Compose (MinIO, Airflow, PostgreSQL), repo Git</t>
  </si>
  <si>
    <t xml:space="preserve">Cài đặt và kết nối Power BI với PostgreSQL</t>
  </si>
  <si>
    <t xml:space="preserve">Môi trường Python cho ML</t>
  </si>
  <si>
    <t xml:space="preserve">Open-Meteo (JSON), Meteostat/NOAA (CSV) → Bronze, Silver</t>
  </si>
  <si>
    <t xml:space="preserve">GeoJSON địa giới, gán trạm vào địa điểm</t>
  </si>
  <si>
    <t xml:space="preserve">ERA5 (NetCDF, xarray) → Bronze, Silver</t>
  </si>
  <si>
    <t xml:space="preserve">ETL</t>
  </si>
  <si>
    <t xml:space="preserve">Gộp Silver thành Gold, toàn bộ DAG Airflow, kiểm tra chất lượng</t>
  </si>
  <si>
    <t xml:space="preserve">Nạp Gold vào DW (khóa thay thế, các bảng Dim)</t>
  </si>
  <si>
    <t xml:space="preserve">DAG chấm điểm dự báo (làm cùng Người 1)</t>
  </si>
  <si>
    <t xml:space="preserve">Kho dữ liệu</t>
  </si>
  <si>
    <t xml:space="preserve">Index, tối ưu truy vấn</t>
  </si>
  <si>
    <t xml:space="preserve">Thiết kế Star Schema, DDL, Dim, Fact, view OLAP</t>
  </si>
  <si>
    <t xml:space="preserve">Thiết kế FactWeatherPrediction, DimModel</t>
  </si>
  <si>
    <t xml:space="preserve">Phân tích</t>
  </si>
  <si>
    <t xml:space="preserve">–</t>
  </si>
  <si>
    <t xml:space="preserve">Dashboard: xu hướng, so sánh khu vực và nguồn, bản đồ, Roll-up/Drill-down/Slice/Dice</t>
  </si>
  <si>
    <t xml:space="preserve">EDA, tạo nhãn, đặc trưng, CART, đánh giá mô hình</t>
  </si>
  <si>
    <t xml:space="preserve">Chương nguồn dữ liệu, Data Lake, ETL</t>
  </si>
  <si>
    <t xml:space="preserve">Chương DW, OLAP, dashboard</t>
  </si>
  <si>
    <t xml:space="preserve">Chương khai phá dữ liệu, đánh giá</t>
  </si>
  <si>
    <t xml:space="preserve">Rủi ro và cách xử lý</t>
  </si>
  <si>
    <t xml:space="preserve">Vấn đề</t>
  </si>
  <si>
    <t xml:space="preserve">Chi tiết</t>
  </si>
  <si>
    <t xml:space="preserve">Cách xử lý</t>
  </si>
  <si>
    <t xml:space="preserve">ERA5 tải chậm</t>
  </si>
  <si>
    <t xml:space="preserve">Cần tài khoản Copernicus CDS; yêu cầu tải xếp hàng có thể mất nhiều giờ đến nhiều ngày.</t>
  </si>
  <si>
    <t xml:space="preserve">Đăng ký và gửi yêu cầu ngay tuần 1; chỉ lấy vùng miền Bắc và biến cần dùng; tải theo tháng/năm.</t>
  </si>
  <si>
    <t xml:space="preserve">Đang theo dõi</t>
  </si>
  <si>
    <t xml:space="preserve">Đơn vị ERA5 khác hẳn</t>
  </si>
  <si>
    <t xml:space="preserve">Nhiệt độ Kelvin, mưa mét, áp suất Pa, gió dạng u/v; ERA5-Land cộng dồn mưa từ 00 UTC.</t>
  </si>
  <si>
    <t xml:space="preserve">Đổi đơn vị ở Silver, tính tốc độ/hướng gió từ u/v, khử cộng dồn, lấy ô lưới gần nhất.</t>
  </si>
  <si>
    <t xml:space="preserve">Open-Meteo và ERA5 trùng gốc</t>
  </si>
  <si>
    <t xml:space="preserve">API lịch sử Open-Meteo dựng chủ yếu từ dữ liệu tái phân tích ERA5.</t>
  </si>
  <si>
    <t xml:space="preserve">Nêu rõ trong báo cáo; dùng như điểm cộng để đối chiếu chéo nguồn.</t>
  </si>
  <si>
    <t xml:space="preserve">Trạm Meteostat/NOAA thưa</t>
  </si>
  <si>
    <t xml:space="preserve">Miền Bắc ít trạm, nhiều giờ thiếu; không phải địa điểm nào cũng có trạm.</t>
  </si>
  <si>
    <t xml:space="preserve">Gán trạm theo khoảng cách bằng GeoPandas; khóa DimStation cho phép rỗng với nguồn lưới.</t>
  </si>
  <si>
    <t xml:space="preserve">Múi giờ</t>
  </si>
  <si>
    <t xml:space="preserve">ERA5, Meteostat dùng UTC; Open-Meteo có thể trả giờ địa phương.</t>
  </si>
  <si>
    <t xml:space="preserve">Lưu thống nhất UTC, thêm cột giờ Việt Nam (UTC+7).</t>
  </si>
  <si>
    <t xml:space="preserve">Địa giới hành chính mới</t>
  </si>
  <si>
    <t xml:space="preserve">Sáp nhập tỉnh từ 1/7/2025 (vd Hòa Bình nay thuộc Phú Thọ); danh sách địa điểm trộn tên cũ/mới.</t>
  </si>
  <si>
    <t xml:space="preserve">Địa điểm = điểm tọa độ; DimLocation lưu cả tỉnh cũ và mới; GeoJSON dùng ranh giới mới.</t>
  </si>
  <si>
    <t xml:space="preserve">Nhãn mưa chưa rõ</t>
  </si>
  <si>
    <t xml:space="preserve">Chưa xác định nguồn lấy nhãn và ngưỡng mm.</t>
  </si>
  <si>
    <t xml:space="preserve">Chốt sớm: tổng mưa 24h tới ≥ 0,1 mm (hoặc 1 mm), ưu tiên trạm, thiếu thì dùng ERA5.</t>
  </si>
  <si>
    <t xml:space="preserve">Rò rỉ dữ liệu khi học máy</t>
  </si>
  <si>
    <t xml:space="preserve">Đặc trưng vô tình chứa thông tin tương lai.</t>
  </si>
  <si>
    <t xml:space="preserve">Mọi đặc trưng chỉ dùng dữ liệu tại hoặc trước thời điểm t; chia tập theo thời gian.</t>
  </si>
  <si>
    <t xml:space="preserve">Mất cân bằng lớp</t>
  </si>
  <si>
    <t xml:space="preserve">Mùa khô có rất ít giờ mưa.</t>
  </si>
  <si>
    <t xml:space="preserve">class_weight='balanced', chỉnh ngưỡng xác suất trên tập 2024 để tăng Recall.</t>
  </si>
  <si>
    <t xml:space="preserve">Airflow trên Docker tốn ~4 GB RAM; Power BI Desktop chỉ chạy trên Windows.</t>
  </si>
  <si>
    <t xml:space="preserve">Chuẩn bị ít nhất một máy Windows RAM từ 16 GB.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</si>
</sst>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375623"/>
      </font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10" min="8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</row>
    <row r="5" customFormat="false" ht="15" hidden="false" customHeight="false" outlineLevel="0" collapsed="false">
      <c r="B5" s="4" t="s">
        <v>11</v>
      </c>
      <c r="C5" s="5" t="s">
        <v>12</v>
      </c>
      <c r="D5" s="4" t="s">
        <v>13</v>
      </c>
      <c r="E5" s="6" t="n">
        <f aca="false">COUNTIF('Theo dõi công việc'!$G$5:$G$200,B5)</f>
        <v>13</v>
      </c>
      <c r="F5" s="6" t="n">
        <f aca="false">COUNTIFS('Theo dõi công việc'!$G$5:$G$200,B5,'Theo dõi công việc'!$M$5:$M$200,"Hoàn thành")</f>
        <v>0</v>
      </c>
      <c r="G5" s="6" t="n">
        <f aca="false">COUNTIFS('Theo dõi công việc'!$G$5:$G$200,B5,'Theo dõi công việc'!$M$5:$M$200,"Đang làm")</f>
        <v>0</v>
      </c>
      <c r="H5" s="6" t="n">
        <f aca="false">COUNTIFS('Theo dõi công việc'!$G$5:$G$200,B5,'Theo dõi công việc'!$M$5:$M$200,"Bị chặn")</f>
        <v>0</v>
      </c>
      <c r="I5" s="6" t="n">
        <f aca="true">COUNTIFS('Theo dõi công việc'!$G$5:$G$200,B5,'Theo dõi công việc'!$L$5:$L$200,"&lt;"&amp;TODAY(),'Theo dõi công việc'!$M$5:$M$200,"&lt;&gt;Hoàn thành")</f>
        <v>0</v>
      </c>
      <c r="J5" s="7" t="n">
        <f aca="false">IFERROR(AVERAGEIF('Theo dõi công việc'!$G$5:$G$200,B5,'Theo dõi công việc'!$N$5:$N$200),0)</f>
        <v>0</v>
      </c>
    </row>
    <row r="6" customFormat="false" ht="15" hidden="false" customHeight="false" outlineLevel="0" collapsed="false">
      <c r="B6" s="4" t="s">
        <v>14</v>
      </c>
      <c r="C6" s="5" t="s">
        <v>15</v>
      </c>
      <c r="D6" s="4" t="s">
        <v>16</v>
      </c>
      <c r="E6" s="6" t="n">
        <f aca="false">COUNTIF('Theo dõi công việc'!$G$5:$G$200,B6)</f>
        <v>12</v>
      </c>
      <c r="F6" s="6" t="n">
        <f aca="false">COUNTIFS('Theo dõi công việc'!$G$5:$G$200,B6,'Theo dõi công việc'!$M$5:$M$200,"Hoàn thành")</f>
        <v>0</v>
      </c>
      <c r="G6" s="6" t="n">
        <f aca="false">COUNTIFS('Theo dõi công việc'!$G$5:$G$200,B6,'Theo dõi công việc'!$M$5:$M$200,"Đang làm")</f>
        <v>0</v>
      </c>
      <c r="H6" s="6" t="n">
        <f aca="false">COUNTIFS('Theo dõi công việc'!$G$5:$G$200,B6,'Theo dõi công việc'!$M$5:$M$200,"Bị chặn")</f>
        <v>0</v>
      </c>
      <c r="I6" s="6" t="n">
        <f aca="true">COUNTIFS('Theo dõi công việc'!$G$5:$G$200,B6,'Theo dõi công việc'!$L$5:$L$200,"&lt;"&amp;TODAY(),'Theo dõi công việc'!$M$5:$M$200,"&lt;&gt;Hoàn thành")</f>
        <v>0</v>
      </c>
      <c r="J6" s="7" t="n">
        <f aca="false">IFERROR(AVERAGEIF('Theo dõi công việc'!$G$5:$G$200,B6,'Theo dõi công việc'!$N$5:$N$200),0)</f>
        <v>0</v>
      </c>
    </row>
    <row r="7" customFormat="false" ht="15" hidden="false" customHeight="false" outlineLevel="0" collapsed="false">
      <c r="B7" s="4" t="s">
        <v>17</v>
      </c>
      <c r="C7" s="5" t="s">
        <v>18</v>
      </c>
      <c r="D7" s="4" t="s">
        <v>19</v>
      </c>
      <c r="E7" s="6" t="n">
        <f aca="false">COUNTIF('Theo dõi công việc'!$G$5:$G$200,B7)</f>
        <v>12</v>
      </c>
      <c r="F7" s="6" t="n">
        <f aca="false">COUNTIFS('Theo dõi công việc'!$G$5:$G$200,B7,'Theo dõi công việc'!$M$5:$M$200,"Hoàn thành")</f>
        <v>0</v>
      </c>
      <c r="G7" s="6" t="n">
        <f aca="false">COUNTIFS('Theo dõi công việc'!$G$5:$G$200,B7,'Theo dõi công việc'!$M$5:$M$200,"Đang làm")</f>
        <v>0</v>
      </c>
      <c r="H7" s="6" t="n">
        <f aca="false">COUNTIFS('Theo dõi công việc'!$G$5:$G$200,B7,'Theo dõi công việc'!$M$5:$M$200,"Bị chặn")</f>
        <v>0</v>
      </c>
      <c r="I7" s="6" t="n">
        <f aca="true">COUNTIFS('Theo dõi công việc'!$G$5:$G$200,B7,'Theo dõi công việc'!$L$5:$L$200,"&lt;"&amp;TODAY(),'Theo dõi công việc'!$M$5:$M$200,"&lt;&gt;Hoàn thành")</f>
        <v>0</v>
      </c>
      <c r="J7" s="7" t="n">
        <f aca="false">IFERROR(AVERAGEIF('Theo dõi công việc'!$G$5:$G$200,B7,'Theo dõi công việc'!$N$5:$N$200),0)</f>
        <v>0</v>
      </c>
    </row>
    <row r="8" customFormat="false" ht="15" hidden="false" customHeight="false" outlineLevel="0" collapsed="false">
      <c r="B8" s="4" t="s">
        <v>20</v>
      </c>
      <c r="C8" s="4" t="s">
        <v>20</v>
      </c>
      <c r="D8" s="4" t="s">
        <v>21</v>
      </c>
      <c r="E8" s="6" t="n">
        <f aca="false">COUNTIF('Theo dõi công việc'!$G$5:$G$200,B8)</f>
        <v>3</v>
      </c>
      <c r="F8" s="6" t="n">
        <f aca="false">COUNTIFS('Theo dõi công việc'!$G$5:$G$200,B8,'Theo dõi công việc'!$M$5:$M$200,"Hoàn thành")</f>
        <v>0</v>
      </c>
      <c r="G8" s="6" t="n">
        <f aca="false">COUNTIFS('Theo dõi công việc'!$G$5:$G$200,B8,'Theo dõi công việc'!$M$5:$M$200,"Đang làm")</f>
        <v>0</v>
      </c>
      <c r="H8" s="6" t="n">
        <f aca="false">COUNTIFS('Theo dõi công việc'!$G$5:$G$200,B8,'Theo dõi công việc'!$M$5:$M$200,"Bị chặn")</f>
        <v>0</v>
      </c>
      <c r="I8" s="6" t="n">
        <f aca="true">COUNTIFS('Theo dõi công việc'!$G$5:$G$200,B8,'Theo dõi công việc'!$L$5:$L$200,"&lt;"&amp;TODAY(),'Theo dõi công việc'!$M$5:$M$200,"&lt;&gt;Hoàn thành")</f>
        <v>0</v>
      </c>
      <c r="J8" s="7" t="n">
        <f aca="false">IFERROR(AVERAGEIF('Theo dõi công việc'!$G$5:$G$200,B8,'Theo dõi công việc'!$N$5:$N$200),0)</f>
        <v>0</v>
      </c>
    </row>
    <row r="9" customFormat="false" ht="15" hidden="false" customHeight="false" outlineLevel="0" collapsed="false">
      <c r="B9" s="8" t="s">
        <v>22</v>
      </c>
      <c r="C9" s="8"/>
      <c r="D9" s="8"/>
      <c r="E9" s="9" t="n">
        <f aca="false">SUM(E5:E8)</f>
        <v>40</v>
      </c>
      <c r="F9" s="9" t="n">
        <f aca="false">SUM(F5:F8)</f>
        <v>0</v>
      </c>
      <c r="G9" s="9" t="n">
        <f aca="false">SUM(G5:G8)</f>
        <v>0</v>
      </c>
      <c r="H9" s="9" t="n">
        <f aca="false">SUM(H5:H8)</f>
        <v>0</v>
      </c>
      <c r="I9" s="9" t="n">
        <f aca="false">SUM(I5:I8)</f>
        <v>0</v>
      </c>
      <c r="J9" s="10" t="n">
        <f aca="false">IFERROR(AVERAGE('Theo dõi công việc'!$N$5:$N$200),0)</f>
        <v>0</v>
      </c>
    </row>
    <row r="11" customFormat="false" ht="15" hidden="false" customHeight="false" outlineLevel="0" collapsed="false">
      <c r="B11" s="11" t="s">
        <v>23</v>
      </c>
      <c r="E11" s="12" t="n">
        <v>46307</v>
      </c>
      <c r="F11" s="13" t="s">
        <v>24</v>
      </c>
    </row>
    <row r="13" customFormat="false" ht="15" hidden="false" customHeight="false" outlineLevel="0" collapsed="false">
      <c r="B13" s="14" t="s">
        <v>25</v>
      </c>
    </row>
    <row r="14" customFormat="false" ht="39.55" hidden="false" customHeight="false" outlineLevel="0" collapsed="false">
      <c r="B14" s="3" t="s">
        <v>26</v>
      </c>
      <c r="C14" s="3" t="s">
        <v>27</v>
      </c>
      <c r="D14" s="3" t="s">
        <v>28</v>
      </c>
      <c r="E14" s="3" t="s">
        <v>29</v>
      </c>
      <c r="F14" s="3" t="s">
        <v>30</v>
      </c>
      <c r="G14" s="3" t="s">
        <v>31</v>
      </c>
    </row>
    <row r="15" customFormat="false" ht="15" hidden="false" customHeight="false" outlineLevel="0" collapsed="false">
      <c r="B15" s="15" t="n">
        <v>1</v>
      </c>
      <c r="C15" s="16" t="n">
        <f aca="false">$E$11+(B15-1)*7</f>
        <v>46307</v>
      </c>
      <c r="D15" s="16" t="n">
        <f aca="false">C15+4</f>
        <v>46311</v>
      </c>
      <c r="E15" s="15" t="n">
        <f aca="false">COUNTIF('Theo dõi công việc'!$C$5:$C$200,B15)</f>
        <v>7</v>
      </c>
      <c r="F15" s="15" t="n">
        <f aca="false">COUNTIFS('Theo dõi công việc'!$C$5:$C$200,B15,'Theo dõi công việc'!$M$5:$M$200,"Hoàn thành")</f>
        <v>0</v>
      </c>
      <c r="G15" s="17" t="n">
        <f aca="false">IF(E15=0,"-",F15/E15)</f>
        <v>0</v>
      </c>
    </row>
    <row r="16" customFormat="false" ht="15" hidden="false" customHeight="false" outlineLevel="0" collapsed="false">
      <c r="B16" s="15" t="n">
        <v>2</v>
      </c>
      <c r="C16" s="16" t="n">
        <f aca="false">$E$11+(B16-1)*7</f>
        <v>46314</v>
      </c>
      <c r="D16" s="16" t="n">
        <f aca="false">C16+4</f>
        <v>46318</v>
      </c>
      <c r="E16" s="15" t="n">
        <f aca="false">COUNTIF('Theo dõi công việc'!$C$5:$C$200,B16)</f>
        <v>0</v>
      </c>
      <c r="F16" s="15" t="n">
        <f aca="false">COUNTIFS('Theo dõi công việc'!$C$5:$C$200,B16,'Theo dõi công việc'!$M$5:$M$200,"Hoàn thành")</f>
        <v>0</v>
      </c>
      <c r="G16" s="17" t="str">
        <f aca="false">IF(E16=0,"-",F16/E16)</f>
        <v>-</v>
      </c>
    </row>
    <row r="17" customFormat="false" ht="15" hidden="false" customHeight="false" outlineLevel="0" collapsed="false">
      <c r="B17" s="15" t="n">
        <v>3</v>
      </c>
      <c r="C17" s="16" t="n">
        <f aca="false">$E$11+(B17-1)*7</f>
        <v>46321</v>
      </c>
      <c r="D17" s="16" t="n">
        <f aca="false">C17+4</f>
        <v>46325</v>
      </c>
      <c r="E17" s="15" t="n">
        <f aca="false">COUNTIF('Theo dõi công việc'!$C$5:$C$200,B17)</f>
        <v>8</v>
      </c>
      <c r="F17" s="15" t="n">
        <f aca="false">COUNTIFS('Theo dõi công việc'!$C$5:$C$200,B17,'Theo dõi công việc'!$M$5:$M$200,"Hoàn thành")</f>
        <v>0</v>
      </c>
      <c r="G17" s="17" t="n">
        <f aca="false">IF(E17=0,"-",F17/E17)</f>
        <v>0</v>
      </c>
    </row>
    <row r="18" customFormat="false" ht="15" hidden="false" customHeight="false" outlineLevel="0" collapsed="false">
      <c r="B18" s="15" t="n">
        <v>4</v>
      </c>
      <c r="C18" s="16" t="n">
        <f aca="false">$E$11+(B18-1)*7</f>
        <v>46328</v>
      </c>
      <c r="D18" s="16" t="n">
        <f aca="false">C18+4</f>
        <v>46332</v>
      </c>
      <c r="E18" s="15" t="n">
        <f aca="false">COUNTIF('Theo dõi công việc'!$C$5:$C$200,B18)</f>
        <v>0</v>
      </c>
      <c r="F18" s="15" t="n">
        <f aca="false">COUNTIFS('Theo dõi công việc'!$C$5:$C$200,B18,'Theo dõi công việc'!$M$5:$M$200,"Hoàn thành")</f>
        <v>0</v>
      </c>
      <c r="G18" s="17" t="str">
        <f aca="false">IF(E18=0,"-",F18/E18)</f>
        <v>-</v>
      </c>
    </row>
    <row r="19" customFormat="false" ht="15" hidden="false" customHeight="false" outlineLevel="0" collapsed="false">
      <c r="B19" s="15" t="n">
        <v>5</v>
      </c>
      <c r="C19" s="16" t="n">
        <f aca="false">$E$11+(B19-1)*7</f>
        <v>46335</v>
      </c>
      <c r="D19" s="16" t="n">
        <f aca="false">C19+4</f>
        <v>46339</v>
      </c>
      <c r="E19" s="15" t="n">
        <f aca="false">COUNTIF('Theo dõi công việc'!$C$5:$C$200,B19)</f>
        <v>8</v>
      </c>
      <c r="F19" s="15" t="n">
        <f aca="false">COUNTIFS('Theo dõi công việc'!$C$5:$C$200,B19,'Theo dõi công việc'!$M$5:$M$200,"Hoàn thành")</f>
        <v>0</v>
      </c>
      <c r="G19" s="17" t="n">
        <f aca="false">IF(E19=0,"-",F19/E19)</f>
        <v>0</v>
      </c>
    </row>
    <row r="20" customFormat="false" ht="15" hidden="false" customHeight="false" outlineLevel="0" collapsed="false">
      <c r="B20" s="15" t="n">
        <v>6</v>
      </c>
      <c r="C20" s="16" t="n">
        <f aca="false">$E$11+(B20-1)*7</f>
        <v>46342</v>
      </c>
      <c r="D20" s="16" t="n">
        <f aca="false">C20+4</f>
        <v>46346</v>
      </c>
      <c r="E20" s="15" t="n">
        <f aca="false">COUNTIF('Theo dõi công việc'!$C$5:$C$200,B20)</f>
        <v>0</v>
      </c>
      <c r="F20" s="15" t="n">
        <f aca="false">COUNTIFS('Theo dõi công việc'!$C$5:$C$200,B20,'Theo dõi công việc'!$M$5:$M$200,"Hoàn thành")</f>
        <v>0</v>
      </c>
      <c r="G20" s="17" t="str">
        <f aca="false">IF(E20=0,"-",F20/E20)</f>
        <v>-</v>
      </c>
    </row>
    <row r="21" customFormat="false" ht="15" hidden="false" customHeight="false" outlineLevel="0" collapsed="false">
      <c r="B21" s="15" t="n">
        <v>7</v>
      </c>
      <c r="C21" s="16" t="n">
        <f aca="false">$E$11+(B21-1)*7</f>
        <v>46349</v>
      </c>
      <c r="D21" s="16" t="n">
        <f aca="false">C21+4</f>
        <v>46353</v>
      </c>
      <c r="E21" s="15" t="n">
        <f aca="false">COUNTIF('Theo dõi công việc'!$C$5:$C$200,B21)</f>
        <v>7</v>
      </c>
      <c r="F21" s="15" t="n">
        <f aca="false">COUNTIFS('Theo dõi công việc'!$C$5:$C$200,B21,'Theo dõi công việc'!$M$5:$M$200,"Hoàn thành")</f>
        <v>0</v>
      </c>
      <c r="G21" s="17" t="n">
        <f aca="false">IF(E21=0,"-",F21/E21)</f>
        <v>0</v>
      </c>
    </row>
    <row r="22" customFormat="false" ht="15" hidden="false" customHeight="false" outlineLevel="0" collapsed="false">
      <c r="B22" s="15" t="n">
        <v>8</v>
      </c>
      <c r="C22" s="16" t="n">
        <f aca="false">$E$11+(B22-1)*7</f>
        <v>46356</v>
      </c>
      <c r="D22" s="16" t="n">
        <f aca="false">C22+4</f>
        <v>46360</v>
      </c>
      <c r="E22" s="15" t="n">
        <f aca="false">COUNTIF('Theo dõi công việc'!$C$5:$C$200,B22)</f>
        <v>3</v>
      </c>
      <c r="F22" s="15" t="n">
        <f aca="false">COUNTIFS('Theo dõi công việc'!$C$5:$C$200,B22,'Theo dõi công việc'!$M$5:$M$200,"Hoàn thành")</f>
        <v>0</v>
      </c>
      <c r="G22" s="17" t="n">
        <f aca="false">IF(E22=0,"-",F22/E22)</f>
        <v>0</v>
      </c>
    </row>
    <row r="23" customFormat="false" ht="15" hidden="false" customHeight="false" outlineLevel="0" collapsed="false">
      <c r="B23" s="15" t="n">
        <v>9</v>
      </c>
      <c r="C23" s="16" t="n">
        <f aca="false">$E$11+(B23-1)*7</f>
        <v>46363</v>
      </c>
      <c r="D23" s="16" t="n">
        <f aca="false">C23+4</f>
        <v>46367</v>
      </c>
      <c r="E23" s="15" t="n">
        <f aca="false">COUNTIF('Theo dõi công việc'!$C$5:$C$200,B23)</f>
        <v>3</v>
      </c>
      <c r="F23" s="15" t="n">
        <f aca="false">COUNTIFS('Theo dõi công việc'!$C$5:$C$200,B23,'Theo dõi công việc'!$M$5:$M$200,"Hoàn thành")</f>
        <v>0</v>
      </c>
      <c r="G23" s="17" t="n">
        <f aca="false">IF(E23=0,"-",F23/E23)</f>
        <v>0</v>
      </c>
    </row>
    <row r="24" customFormat="false" ht="15" hidden="false" customHeight="false" outlineLevel="0" collapsed="false">
      <c r="B24" s="15" t="n">
        <v>10</v>
      </c>
      <c r="C24" s="16" t="n">
        <f aca="false">$E$11+(B24-1)*7</f>
        <v>46370</v>
      </c>
      <c r="D24" s="16" t="n">
        <f aca="false">C24+4</f>
        <v>46374</v>
      </c>
      <c r="E24" s="15" t="n">
        <f aca="false">COUNTIF('Theo dõi công việc'!$C$5:$C$200,B24)</f>
        <v>4</v>
      </c>
      <c r="F24" s="15" t="n">
        <f aca="false">COUNTIFS('Theo dõi công việc'!$C$5:$C$200,B24,'Theo dõi công việc'!$M$5:$M$200,"Hoàn thành")</f>
        <v>0</v>
      </c>
      <c r="G24" s="17" t="n">
        <f aca="false">IF(E24=0,"-",F24/E24)</f>
        <v>0</v>
      </c>
    </row>
    <row r="27" customFormat="false" ht="15" hidden="false" customHeight="false" outlineLevel="0" collapsed="false">
      <c r="B27" s="14" t="s">
        <v>32</v>
      </c>
    </row>
    <row r="28" customFormat="false" ht="15" hidden="false" customHeight="false" outlineLevel="0" collapsed="false">
      <c r="B28" s="11" t="s">
        <v>33</v>
      </c>
      <c r="C28" s="18" t="s">
        <v>34</v>
      </c>
    </row>
    <row r="29" customFormat="false" ht="15" hidden="false" customHeight="false" outlineLevel="0" collapsed="false">
      <c r="B29" s="11" t="s">
        <v>35</v>
      </c>
      <c r="C29" s="18" t="s">
        <v>36</v>
      </c>
    </row>
    <row r="30" customFormat="false" ht="15" hidden="false" customHeight="false" outlineLevel="0" collapsed="false">
      <c r="B30" s="11" t="s">
        <v>37</v>
      </c>
      <c r="C30" s="18" t="s">
        <v>38</v>
      </c>
    </row>
    <row r="31" customFormat="false" ht="15" hidden="false" customHeight="false" outlineLevel="0" collapsed="false">
      <c r="B31" s="11" t="s">
        <v>39</v>
      </c>
      <c r="C31" s="18" t="s">
        <v>40</v>
      </c>
    </row>
    <row r="32" customFormat="false" ht="15" hidden="false" customHeight="false" outlineLevel="0" collapsed="false">
      <c r="B32" s="11" t="s">
        <v>9</v>
      </c>
      <c r="C32" s="18" t="s">
        <v>41</v>
      </c>
    </row>
    <row r="33" customFormat="false" ht="15" hidden="false" customHeight="false" outlineLevel="0" collapsed="false">
      <c r="B33" s="11" t="s">
        <v>42</v>
      </c>
      <c r="C33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8"/>
    <col collapsed="false" customWidth="true" hidden="false" outlineLevel="0" max="4" min="4" style="0" width="11"/>
    <col collapsed="false" customWidth="true" hidden="false" outlineLevel="0" max="5" min="5" style="0" width="17"/>
    <col collapsed="false" customWidth="true" hidden="false" outlineLevel="0" max="6" min="6" style="0" width="55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30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25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45</v>
      </c>
    </row>
    <row r="4" customFormat="false" ht="31.5" hidden="false" customHeight="true" outlineLevel="0" collapsed="false">
      <c r="A4" s="3" t="s">
        <v>46</v>
      </c>
      <c r="B4" s="3" t="s">
        <v>47</v>
      </c>
      <c r="C4" s="3" t="s">
        <v>48</v>
      </c>
      <c r="D4" s="3" t="s">
        <v>49</v>
      </c>
      <c r="E4" s="3" t="s">
        <v>50</v>
      </c>
      <c r="F4" s="3" t="s">
        <v>51</v>
      </c>
      <c r="G4" s="3" t="s">
        <v>39</v>
      </c>
      <c r="H4" s="3" t="s">
        <v>52</v>
      </c>
      <c r="I4" s="3" t="s">
        <v>53</v>
      </c>
      <c r="J4" s="3" t="s">
        <v>54</v>
      </c>
      <c r="K4" s="3" t="s">
        <v>55</v>
      </c>
      <c r="L4" s="3" t="s">
        <v>56</v>
      </c>
      <c r="M4" s="3" t="s">
        <v>37</v>
      </c>
      <c r="N4" s="3" t="s">
        <v>31</v>
      </c>
      <c r="O4" s="3" t="s">
        <v>57</v>
      </c>
    </row>
    <row r="5" customFormat="false" ht="26.85" hidden="false" customHeight="false" outlineLevel="0" collapsed="false">
      <c r="A5" s="19" t="n">
        <v>1</v>
      </c>
      <c r="B5" s="19" t="n">
        <v>1</v>
      </c>
      <c r="C5" s="19" t="n">
        <v>1</v>
      </c>
      <c r="D5" s="19" t="s">
        <v>58</v>
      </c>
      <c r="E5" s="20" t="s">
        <v>59</v>
      </c>
      <c r="F5" s="20" t="s">
        <v>60</v>
      </c>
      <c r="G5" s="19" t="s">
        <v>11</v>
      </c>
      <c r="H5" s="20" t="str">
        <f aca="false">IF(G5="Cả nhóm","Cả nhóm",IFERROR(INDEX('Tổng quan'!$C$5:$C$7,MATCH(G5,'Tổng quan'!$B$5:$B$7,0)),""))</f>
        <v>Người 1</v>
      </c>
      <c r="I5" s="20"/>
      <c r="J5" s="20" t="s">
        <v>61</v>
      </c>
      <c r="K5" s="21" t="n">
        <f aca="false">'Tổng quan'!$E$11+(B5-1)*7</f>
        <v>46307</v>
      </c>
      <c r="L5" s="21" t="n">
        <f aca="false">'Tổng quan'!$E$11+(C5-1)*7+4</f>
        <v>46311</v>
      </c>
      <c r="M5" s="22" t="inlineStr">
        <is>
          <t>Đang làm</t>
        </is>
      </c>
      <c r="N5" s="23" t="n">
        <v>95</v>
      </c>
      <c r="O5" s="24" t="inlineStr">
        <is>
          <t>22/10: kiểm chứng đầu-cuối: webserver + scheduler healthy (/health), 2 DAG nạp không lỗi, DAG kiểm tra hệ thống chạy thành công qua REST API (cả 2 task); DW giữ nguyên sau khi khởi động lại. Kiểm chứng trên 1 máy (cả nhóm hiện là 1 người). Đủ tiêu chí, chờ bạn xác nhận Hoàn thành</t>
        </is>
      </c>
    </row>
    <row r="6" customFormat="false" ht="26.85" hidden="false" customHeight="false" outlineLevel="0" collapsed="false">
      <c r="A6" s="19" t="n">
        <v>2</v>
      </c>
      <c r="B6" s="19" t="n">
        <v>1</v>
      </c>
      <c r="C6" s="19" t="n">
        <v>1</v>
      </c>
      <c r="D6" s="19" t="s">
        <v>58</v>
      </c>
      <c r="E6" s="20" t="s">
        <v>63</v>
      </c>
      <c r="F6" s="20" t="s">
        <v>64</v>
      </c>
      <c r="G6" s="19" t="s">
        <v>11</v>
      </c>
      <c r="H6" s="20" t="str">
        <f aca="false">IF(G6="Cả nhóm","Cả nhóm",IFERROR(INDEX('Tổng quan'!$C$5:$C$7,MATCH(G6,'Tổng quan'!$B$5:$B$7,0)),""))</f>
        <v>Người 1</v>
      </c>
      <c r="I6" s="20"/>
      <c r="J6" s="20" t="s">
        <v>65</v>
      </c>
      <c r="K6" s="21" t="n">
        <f aca="false">'Tổng quan'!$E$11+(B6-1)*7</f>
        <v>46307</v>
      </c>
      <c r="L6" s="21" t="n">
        <f aca="false">'Tổng quan'!$E$11+(C6-1)*7+4</f>
        <v>46311</v>
      </c>
      <c r="M6" s="22" t="inlineStr">
        <is>
          <t>Đang làm</t>
        </is>
      </c>
      <c r="N6" s="23" t="n">
        <v>95</v>
      </c>
      <c r="O6" s="24" t="inlineStr">
        <is>
          <t>22/10: 3 bucket, key đúng quy ước. Bronze Open-Meteo giữ nguyên bytes gốc + manifest (SHA-256, độ phủ, tọa độ lưới) cho cả 80 file; bỏ qua theo checksum, không theo kích thước. Còn lại: Bronze Meteostat chưa có manifest (thuộc ID 9)</t>
        </is>
      </c>
    </row>
    <row r="7" customFormat="false" ht="15" hidden="false" customHeight="false" outlineLevel="0" collapsed="false">
      <c r="A7" s="19" t="n">
        <v>3</v>
      </c>
      <c r="B7" s="19" t="n">
        <v>1</v>
      </c>
      <c r="C7" s="19" t="n">
        <v>1</v>
      </c>
      <c r="D7" s="19" t="s">
        <v>58</v>
      </c>
      <c r="E7" s="20" t="s">
        <v>66</v>
      </c>
      <c r="F7" s="20" t="s">
        <v>67</v>
      </c>
      <c r="G7" s="19" t="s">
        <v>14</v>
      </c>
      <c r="H7" s="20" t="str">
        <f aca="false">IF(G7="Cả nhóm","Cả nhóm",IFERROR(INDEX('Tổng quan'!$C$5:$C$7,MATCH(G7,'Tổng quan'!$B$5:$B$7,0)),""))</f>
        <v>Người 2</v>
      </c>
      <c r="I7" s="20" t="s">
        <v>17</v>
      </c>
      <c r="J7" s="20" t="s">
        <v>68</v>
      </c>
      <c r="K7" s="21" t="n">
        <f aca="false">'Tổng quan'!$E$11+(B7-1)*7</f>
        <v>46307</v>
      </c>
      <c r="L7" s="21" t="n">
        <f aca="false">'Tổng quan'!$E$11+(C7-1)*7+4</f>
        <v>46311</v>
      </c>
      <c r="M7" s="22" t="inlineStr">
        <is>
          <t>Đang làm</t>
        </is>
      </c>
      <c r="N7" s="23" t="n">
        <v>95</v>
      </c>
      <c r="O7" s="24" t="inlineStr">
        <is>
          <t>22/10: sơ đồ Star Schema sinh từ DW thật (9 bảng, 14 khóa ngoại, grain từng fact): docs/diagrams/star-schema.md; thay bản phác 13/10 chỉ có trong outputs/. Cơ sở lịch UTC+7, prediction, chọn trạm (tối đa 1 trạm/điểm) đều đã chốt. Chờ bạn xác nhận Hoàn thành</t>
        </is>
      </c>
    </row>
    <row r="8" customFormat="false" ht="26.85" hidden="false" customHeight="false" outlineLevel="0" collapsed="false">
      <c r="A8" s="19" t="n">
        <v>4</v>
      </c>
      <c r="B8" s="19" t="n">
        <v>1</v>
      </c>
      <c r="C8" s="19" t="n">
        <v>1</v>
      </c>
      <c r="D8" s="19" t="s">
        <v>58</v>
      </c>
      <c r="E8" s="20" t="s">
        <v>69</v>
      </c>
      <c r="F8" s="20" t="inlineStr">
        <is>
          <t>Tải GeoJSON địa giới Việt Nam, ranh giới TRƯỚC sáp nhập (63 tỉnh). Đổi phạm vi ngày 21/10/2026; mô tả gốc: "ranh giới sau sáp nhập 1/7/2025"</t>
        </is>
      </c>
      <c r="G8" s="19" t="s">
        <v>14</v>
      </c>
      <c r="H8" s="20" t="str">
        <f aca="false">IF(G8="Cả nhóm","Cả nhóm",IFERROR(INDEX('Tổng quan'!$C$5:$C$7,MATCH(G8,'Tổng quan'!$B$5:$B$7,0)),""))</f>
        <v>Người 2</v>
      </c>
      <c r="I8" s="20"/>
      <c r="J8" s="20" t="s">
        <v>71</v>
      </c>
      <c r="K8" s="21" t="n">
        <f aca="false">'Tổng quan'!$E$11+(B8-1)*7</f>
        <v>46307</v>
      </c>
      <c r="L8" s="21" t="n">
        <f aca="false">'Tổng quan'!$E$11+(C8-1)*7+4</f>
        <v>46311</v>
      </c>
      <c r="M8" s="22" t="inlineStr">
        <is>
          <t>Đang làm</t>
        </is>
      </c>
      <c r="N8" s="23" t="n">
        <v>90</v>
      </c>
      <c r="O8" s="24" t="inlineStr">
        <is>
          <t>22/10: scripts/ingest_boundaries.py: GeoJSON 63 tỉnh trước sáp nhập (geoBoundaries VNM ADM1, commit 9469f09, năm 2008) trong Bronze kèm manifest (SHA-256, giấy phép, CRS); Silver 25 tỉnh miền Bắc (QĐ 368, 369/QĐ-TTg), 8 tỉnh có dữ liệu. Hình học hợp lệ 64/64; 8/8 điểm nằm đúng tỉnh trong dim_location. Hạn chế: ranh giới lấy từ Wikipedia/Wikimedia, độ chi tiết thấp; giấy phép ghi Public Domain (geoBoundaries) và ODbL (HDX). Phạm vi đã chốt 21/10: không làm ranh giới sau sáp nhập</t>
        </is>
      </c>
    </row>
    <row r="9" customFormat="false" ht="26.85" hidden="false" customHeight="false" outlineLevel="0" collapsed="false">
      <c r="A9" s="19" t="n">
        <v>5</v>
      </c>
      <c r="B9" s="19" t="n">
        <v>1</v>
      </c>
      <c r="C9" s="19" t="n">
        <v>1</v>
      </c>
      <c r="D9" s="19" t="s">
        <v>58</v>
      </c>
      <c r="E9" s="20" t="s">
        <v>69</v>
      </c>
      <c r="F9" s="20" t="s">
        <v>72</v>
      </c>
      <c r="G9" s="19" t="s">
        <v>17</v>
      </c>
      <c r="H9" s="20" t="str">
        <f aca="false">IF(G9="Cả nhóm","Cả nhóm",IFERROR(INDEX('Tổng quan'!$C$5:$C$7,MATCH(G9,'Tổng quan'!$B$5:$B$7,0)),""))</f>
        <v>Người 3</v>
      </c>
      <c r="I9" s="20"/>
      <c r="J9" s="20" t="s">
        <v>73</v>
      </c>
      <c r="K9" s="21" t="n">
        <f aca="false">'Tổng quan'!$E$11+(B9-1)*7</f>
        <v>46307</v>
      </c>
      <c r="L9" s="21" t="n">
        <f aca="false">'Tổng quan'!$E$11+(C9-1)*7+4</f>
        <v>46311</v>
      </c>
      <c r="M9" s="22" t="inlineStr">
        <is>
          <t>Đang làm</t>
        </is>
      </c>
      <c r="N9" s="23" t="n">
        <v>95</v>
      </c>
      <c r="O9" s="24" t="inlineStr">
        <is>
          <t>23/10: đã đăng ký CDS, chấp nhận giấy phép ERA5; yêu cầu theo vùng miền Bắc chạy được (job 70c1b649…), nhưng mỗi tháng chờ hàng đợi ~2 giờ và CDS chỉ nhận 1 yêu cầu chờ mỗi lúc. Đã chốt 23/10: dùng ERA5 time-series (cùng dữ liệu ERA5 theo giờ, ô lưới gần nhất của 8 điểm): 8 yêu cầu 2016–2025 xong trong 320 giây. Tải theo vùng vẫn chạy tiếp cho 2024–2025 để làm minh chứng. Chờ bạn xác nhận Hoàn thành</t>
        </is>
      </c>
    </row>
    <row r="10" customFormat="false" ht="26.85" hidden="false" customHeight="false" outlineLevel="0" collapsed="false">
      <c r="A10" s="19" t="n">
        <v>6</v>
      </c>
      <c r="B10" s="19" t="n">
        <v>1</v>
      </c>
      <c r="C10" s="19" t="n">
        <v>1</v>
      </c>
      <c r="D10" s="19" t="s">
        <v>58</v>
      </c>
      <c r="E10" s="20" t="s">
        <v>74</v>
      </c>
      <c r="F10" s="20" t="s">
        <v>75</v>
      </c>
      <c r="G10" s="19" t="s">
        <v>20</v>
      </c>
      <c r="H10" s="20" t="str">
        <f aca="false">IF(G10="Cả nhóm","Cả nhóm",IFERROR(INDEX('Tổng quan'!$C$5:$C$7,MATCH(G10,'Tổng quan'!$B$5:$B$7,0)),""))</f>
        <v>Cả nhóm</v>
      </c>
      <c r="I10" s="20"/>
      <c r="J10" s="20" t="s">
        <v>76</v>
      </c>
      <c r="K10" s="21" t="n">
        <f aca="false">'Tổng quan'!$E$11+(B10-1)*7</f>
        <v>46307</v>
      </c>
      <c r="L10" s="21" t="n">
        <f aca="false">'Tổng quan'!$E$11+(C10-1)*7+4</f>
        <v>46311</v>
      </c>
      <c r="M10" s="22" t="inlineStr">
        <is>
          <t>Hoàn thành</t>
        </is>
      </c>
      <c r="N10" s="23" t="n">
        <v>100</v>
      </c>
      <c r="O10" s="24" t="inlineStr">
        <is>
          <t>Hoàn thành 21/10: data-contract.md v0.2 (cột/đơn vị/UTC/pressure_type/xử lý trùng/chọn trạm/báo cáo độ phủ). Nhóm xác nhận (qua N1/N2). Còn để mở có ghi rõ: ngưỡng độ phủ tối thiểu</t>
        </is>
      </c>
    </row>
    <row r="11" customFormat="false" ht="26.85" hidden="false" customHeight="false" outlineLevel="0" collapsed="false">
      <c r="A11" s="19" t="n">
        <v>7</v>
      </c>
      <c r="B11" s="19" t="n">
        <v>1</v>
      </c>
      <c r="C11" s="19" t="n">
        <v>1</v>
      </c>
      <c r="D11" s="19" t="s">
        <v>58</v>
      </c>
      <c r="E11" s="20" t="s">
        <v>74</v>
      </c>
      <c r="F11" s="20" t="s">
        <v>77</v>
      </c>
      <c r="G11" s="19" t="s">
        <v>20</v>
      </c>
      <c r="H11" s="20" t="str">
        <f aca="false">IF(G11="Cả nhóm","Cả nhóm",IFERROR(INDEX('Tổng quan'!$C$5:$C$7,MATCH(G11,'Tổng quan'!$B$5:$B$7,0)),""))</f>
        <v>Cả nhóm</v>
      </c>
      <c r="I11" s="20"/>
      <c r="J11" s="20" t="s">
        <v>78</v>
      </c>
      <c r="K11" s="21" t="n">
        <f aca="false">'Tổng quan'!$E$11+(B11-1)*7</f>
        <v>46307</v>
      </c>
      <c r="L11" s="21" t="n">
        <f aca="false">'Tổng quan'!$E$11+(C11-1)*7+4</f>
        <v>46311</v>
      </c>
      <c r="M11" s="22" t="inlineStr">
        <is>
          <t>Hoàn thành</t>
        </is>
      </c>
      <c r="N11" s="23" t="n">
        <v>100</v>
      </c>
      <c r="O11" s="24" t="inlineStr">
        <is>
          <t>Hoàn thành 21/10: rain-label.md v0.2: ngưỡng 1 mm, nguồn Open-Meteo, cửa sổ (t,t+24h] đã kiểm chứng, thiếu giờ thì bỏ nhãn. Tỷ lệ Yes 50,5% đo bằng bản v0.2; bản v0.2.1 (sửa lỗi cộng số thực 22/10): train 51,6% / val 50,1% / test 49,7%. Nhóm xác nhận qua N1/N2; N3 chưa duyệt. Còn mở có ghi rõ: fallback ERA5/trạm, ngưỡng độ phủ tối thiểu</t>
        </is>
      </c>
    </row>
    <row r="12" customFormat="false" ht="15" hidden="false" customHeight="false" outlineLevel="0" collapsed="false">
      <c r="A12" s="19" t="n">
        <v>8</v>
      </c>
      <c r="B12" s="19" t="n">
        <v>2</v>
      </c>
      <c r="C12" s="19" t="n">
        <v>3</v>
      </c>
      <c r="D12" s="19" t="s">
        <v>79</v>
      </c>
      <c r="E12" s="20" t="s">
        <v>69</v>
      </c>
      <c r="F12" s="20" t="s">
        <v>80</v>
      </c>
      <c r="G12" s="19" t="s">
        <v>11</v>
      </c>
      <c r="H12" s="20" t="str">
        <f aca="false">IF(G12="Cả nhóm","Cả nhóm",IFERROR(INDEX('Tổng quan'!$C$5:$C$7,MATCH(G12,'Tổng quan'!$B$5:$B$7,0)),""))</f>
        <v>Người 1</v>
      </c>
      <c r="I12" s="20"/>
      <c r="J12" s="20" t="s">
        <v>81</v>
      </c>
      <c r="K12" s="21" t="n">
        <f aca="false">'Tổng quan'!$E$11+(B12-1)*7</f>
        <v>46314</v>
      </c>
      <c r="L12" s="21" t="n">
        <f aca="false">'Tổng quan'!$E$11+(C12-1)*7+4</f>
        <v>46325</v>
      </c>
      <c r="M12" s="22" t="inlineStr">
        <is>
          <t>Đang làm</t>
        </is>
      </c>
      <c r="N12" s="23" t="n">
        <v>95</v>
      </c>
      <c r="O12" s="24" t="inlineStr">
        <is>
          <t>22/10: Bronze giữ nguyên payload gốc + manifest; tải lại 80/80 file (339 s, 0 lỗi), dữ liệu theo giờ giống hệt bản cũ; Silver 2024 giống từng dòng (70.272). Chạy lại: bỏ qua 80 file theo checksum. Lỗi thoát mã 1 (sửa 22/10). Tiêu chí «SHA bằng bản tải mới» không đạt được về nguyên tắc vì phản hồi có generationtime_ms; thay bằng so sánh dữ liệu theo giờ</t>
        </is>
      </c>
    </row>
    <row r="13" customFormat="false" ht="15" hidden="false" customHeight="false" outlineLevel="0" collapsed="false">
      <c r="A13" s="19" t="n">
        <v>9</v>
      </c>
      <c r="B13" s="19" t="n">
        <v>2</v>
      </c>
      <c r="C13" s="19" t="n">
        <v>3</v>
      </c>
      <c r="D13" s="19" t="s">
        <v>79</v>
      </c>
      <c r="E13" s="20" t="s">
        <v>69</v>
      </c>
      <c r="F13" s="20" t="s">
        <v>82</v>
      </c>
      <c r="G13" s="19" t="s">
        <v>11</v>
      </c>
      <c r="H13" s="20" t="str">
        <f aca="false">IF(G13="Cả nhóm","Cả nhóm",IFERROR(INDEX('Tổng quan'!$C$5:$C$7,MATCH(G13,'Tổng quan'!$B$5:$B$7,0)),""))</f>
        <v>Người 1</v>
      </c>
      <c r="I13" s="20"/>
      <c r="J13" s="20" t="s">
        <v>83</v>
      </c>
      <c r="K13" s="21" t="n">
        <f aca="false">'Tổng quan'!$E$11+(B13-1)*7</f>
        <v>46314</v>
      </c>
      <c r="L13" s="21" t="n">
        <f aca="false">'Tổng quan'!$E$11+(C13-1)*7+4</f>
        <v>46325</v>
      </c>
      <c r="M13" s="22" t="inlineStr">
        <is>
          <t>Đang làm</t>
        </is>
      </c>
      <c r="N13" s="23" t="n">
        <v>95</v>
      </c>
      <c r="O13" s="24" t="inlineStr">
        <is>
          <t>21/10: Meteostat chỉ giữ quan trắc thật (HAN). NOAA GHCNh mưa 24h cho 5 điểm (HPH, TNG, LCA, HAN≈Hà Đông, NBI≈Nam Định) 2016–2025: 17.866 ngày, độ phủ 95,9–99,2%, bảng fact_station_daily_rain + view so sánh với Open-Meteo. 22/10: trạm Meteostat 48820 thực chất là sân bay Nội Bài (cách điểm HAN 22 km), đã ghi lại; quy tắc cực trị so sánh theo độ phân giải 0,1 mm. Bronze Meteostat lưu CSV đã giải nén, chưa có manifest/SHA. Chờ nhóm duyệt quy tắc cực trị 300 mm</t>
        </is>
      </c>
    </row>
    <row r="14" customFormat="false" ht="26.85" hidden="false" customHeight="false" outlineLevel="0" collapsed="false">
      <c r="A14" s="19" t="n">
        <v>10</v>
      </c>
      <c r="B14" s="19" t="n">
        <v>2</v>
      </c>
      <c r="C14" s="19" t="n">
        <v>3</v>
      </c>
      <c r="D14" s="19" t="s">
        <v>79</v>
      </c>
      <c r="E14" s="20" t="s">
        <v>84</v>
      </c>
      <c r="F14" s="20" t="s">
        <v>85</v>
      </c>
      <c r="G14" s="19" t="s">
        <v>11</v>
      </c>
      <c r="H14" s="20" t="str">
        <f aca="false">IF(G14="Cả nhóm","Cả nhóm",IFERROR(INDEX('Tổng quan'!$C$5:$C$7,MATCH(G14,'Tổng quan'!$B$5:$B$7,0)),""))</f>
        <v>Người 1</v>
      </c>
      <c r="I14" s="20"/>
      <c r="J14" s="20" t="s">
        <v>86</v>
      </c>
      <c r="K14" s="21" t="n">
        <f aca="false">'Tổng quan'!$E$11+(B14-1)*7</f>
        <v>46314</v>
      </c>
      <c r="L14" s="21" t="n">
        <f aca="false">'Tổng quan'!$E$11+(C14-1)*7+4</f>
        <v>46325</v>
      </c>
      <c r="M14" s="22" t="inlineStr">
        <is>
          <t>Đang làm</t>
        </is>
      </c>
      <c r="N14" s="23" t="n">
        <v>90</v>
      </c>
      <c r="O14" s="24" t="inlineStr">
        <is>
          <t>21/10: Silver chạy lại: Open-Meteo 701.376 dòng; Meteostat 87.485 dòng sau khi loại 436.502 giá trị mô hình và 43.575 dòng không có quan trắc; 60 file Silver cũ đã xóa; 0 xung đột, 0 lỗi. 22/10: file Bronze Open-Meteo bị thiếu tính là lỗi (trừ khi có --allow-missing); Silver kiểm tra SHA-256 của Bronze theo manifest; chạy lại Silver 2024 giống từng dòng (70.272)</t>
        </is>
      </c>
    </row>
    <row r="15" customFormat="false" ht="26.85" hidden="false" customHeight="false" outlineLevel="0" collapsed="false">
      <c r="A15" s="19" t="n">
        <v>11</v>
      </c>
      <c r="B15" s="19" t="n">
        <v>2</v>
      </c>
      <c r="C15" s="19" t="n">
        <v>3</v>
      </c>
      <c r="D15" s="19" t="s">
        <v>79</v>
      </c>
      <c r="E15" s="20" t="s">
        <v>66</v>
      </c>
      <c r="F15" s="20" t="inlineStr">
        <is>
          <t>DimLocation (chỉ tỉnh trước sáp nhập; mô tả gốc "tỉnh cũ + tỉnh mới", đổi ngày 21/10/2026), DimStation, gán trạm theo khoảng cách bằng GeoPandas</t>
        </is>
      </c>
      <c r="G15" s="19" t="s">
        <v>14</v>
      </c>
      <c r="H15" s="20" t="str">
        <f aca="false">IF(G15="Cả nhóm","Cả nhóm",IFERROR(INDEX('Tổng quan'!$C$5:$C$7,MATCH(G15,'Tổng quan'!$B$5:$B$7,0)),""))</f>
        <v>Người 2</v>
      </c>
      <c r="I15" s="20"/>
      <c r="J15" s="20" t="s">
        <v>88</v>
      </c>
      <c r="K15" s="21" t="n">
        <f aca="false">'Tổng quan'!$E$11+(B15-1)*7</f>
        <v>46314</v>
      </c>
      <c r="L15" s="21" t="n">
        <f aca="false">'Tổng quan'!$E$11+(C15-1)*7+4</f>
        <v>46325</v>
      </c>
      <c r="M15" s="22" t="inlineStr">
        <is>
          <t>Đang làm</t>
        </is>
      </c>
      <c r="N15" s="23" t="n">
        <v>60</v>
      </c>
      <c r="O15" s="24" t="inlineStr">
        <is>
          <t>21/10: mã/tọa độ trạm đã xác minh (Meteostat + NOAA ISD). Hợp lệ: HAN 48820, HPH 48826, TNG 48831, LCA 48803; dim_station 12 trạm (thêm 48823 Nam Định cho mưa ngày). 22/10: 48820 = sân bay Nội Bài (22,0 km, vai trò nearest_available); thêm station_role, distance_km (sql/05). Khoảng cách tính bằng haversine, không dùng GeoPandas. Tỉnh: chỉ dùng tỉnh trước sáp nhập (đã chốt 21/10); 8 điểm đã kiểm tra nằm đúng tỉnh trên GeoJSON ID 4 (22/10)</t>
        </is>
      </c>
    </row>
    <row r="16" customFormat="false" ht="26.85" hidden="false" customHeight="false" outlineLevel="0" collapsed="false">
      <c r="A16" s="19" t="n">
        <v>12</v>
      </c>
      <c r="B16" s="19" t="n">
        <v>2</v>
      </c>
      <c r="C16" s="19" t="n">
        <v>3</v>
      </c>
      <c r="D16" s="19" t="s">
        <v>79</v>
      </c>
      <c r="E16" s="20" t="s">
        <v>66</v>
      </c>
      <c r="F16" s="20" t="s">
        <v>89</v>
      </c>
      <c r="G16" s="19" t="s">
        <v>14</v>
      </c>
      <c r="H16" s="20" t="str">
        <f aca="false">IF(G16="Cả nhóm","Cả nhóm",IFERROR(INDEX('Tổng quan'!$C$5:$C$7,MATCH(G16,'Tổng quan'!$B$5:$B$7,0)),""))</f>
        <v>Người 2</v>
      </c>
      <c r="I16" s="20"/>
      <c r="J16" s="20" t="s">
        <v>90</v>
      </c>
      <c r="K16" s="21" t="n">
        <f aca="false">'Tổng quan'!$E$11+(B16-1)*7</f>
        <v>46314</v>
      </c>
      <c r="L16" s="21" t="n">
        <f aca="false">'Tổng quan'!$E$11+(C16-1)*7+4</f>
        <v>46325</v>
      </c>
      <c r="M16" s="22" t="inlineStr">
        <is>
          <t>Đang làm</t>
        </is>
      </c>
      <c r="N16" s="23" t="n">
        <v>90</v>
      </c>
      <c r="O16" s="24" t="inlineStr">
        <is>
          <t>dim_date 4.018 ngày, seed chạy lại ổn. Cơ sở lịch UTC+7 đã chốt 21/10 (data-contract, warehouse-schema; nhóm xác nhận qua N1/N2)</t>
        </is>
      </c>
    </row>
    <row r="17" customFormat="false" ht="15" hidden="false" customHeight="false" outlineLevel="0" collapsed="false">
      <c r="A17" s="19" t="n">
        <v>13</v>
      </c>
      <c r="B17" s="19" t="n">
        <v>2</v>
      </c>
      <c r="C17" s="19" t="n">
        <v>3</v>
      </c>
      <c r="D17" s="19" t="s">
        <v>79</v>
      </c>
      <c r="E17" s="20" t="s">
        <v>66</v>
      </c>
      <c r="F17" s="20" t="s">
        <v>91</v>
      </c>
      <c r="G17" s="19" t="s">
        <v>14</v>
      </c>
      <c r="H17" s="20" t="str">
        <f aca="false">IF(G17="Cả nhóm","Cả nhóm",IFERROR(INDEX('Tổng quan'!$C$5:$C$7,MATCH(G17,'Tổng quan'!$B$5:$B$7,0)),""))</f>
        <v>Người 2</v>
      </c>
      <c r="I17" s="20"/>
      <c r="J17" s="20" t="s">
        <v>92</v>
      </c>
      <c r="K17" s="21" t="n">
        <f aca="false">'Tổng quan'!$E$11+(B17-1)*7</f>
        <v>46314</v>
      </c>
      <c r="L17" s="21" t="n">
        <f aca="false">'Tổng quan'!$E$11+(C17-1)*7+4</f>
        <v>46325</v>
      </c>
      <c r="M17" s="22" t="inlineStr">
        <is>
          <t>Đang làm</t>
        </is>
      </c>
      <c r="N17" s="23" t="n">
        <v>80</v>
      </c>
      <c r="O17" s="24" t="inlineStr">
        <is>
          <t>DDL chạy được trên Postgres; migration cho DB đã tồn tại: sql/02–05, chạy lại an toàn. 22/10: test tích hợp chạy đúng thứ tự khởi tạo thật (init + 02→05); sửa chú thích day_of_week (ISO) và period_of_day</t>
        </is>
      </c>
    </row>
    <row r="18" customFormat="false" ht="15" hidden="false" customHeight="false" outlineLevel="0" collapsed="false">
      <c r="A18" s="19" t="n">
        <v>14</v>
      </c>
      <c r="B18" s="19" t="n">
        <v>2</v>
      </c>
      <c r="C18" s="19" t="n">
        <v>3</v>
      </c>
      <c r="D18" s="19" t="s">
        <v>79</v>
      </c>
      <c r="E18" s="20" t="s">
        <v>69</v>
      </c>
      <c r="F18" s="20" t="s">
        <v>93</v>
      </c>
      <c r="G18" s="19" t="s">
        <v>17</v>
      </c>
      <c r="H18" s="20" t="str">
        <f aca="false">IF(G18="Cả nhóm","Cả nhóm",IFERROR(INDEX('Tổng quan'!$C$5:$C$7,MATCH(G18,'Tổng quan'!$B$5:$B$7,0)),""))</f>
        <v>Người 3</v>
      </c>
      <c r="I18" s="20"/>
      <c r="J18" s="20" t="s">
        <v>94</v>
      </c>
      <c r="K18" s="21" t="n">
        <f aca="false">'Tổng quan'!$E$11+(B18-1)*7</f>
        <v>46314</v>
      </c>
      <c r="L18" s="21" t="n">
        <f aca="false">'Tổng quan'!$E$11+(C18-1)*7+4</f>
        <v>46325</v>
      </c>
      <c r="M18" s="22" t="inlineStr">
        <is>
          <t>Đang làm</t>
        </is>
      </c>
      <c r="N18" s="23" t="n">
        <v>95</v>
      </c>
      <c r="O18" s="24" t="inlineStr">
        <is>
          <t>23/10: Bronze có ERA5 NetCDF nguyên bản kèm manifest: chuỗi theo giờ 8 điểm × 2016–2025 (87.672 giờ mỗi điểm, ô lưới gần nhất; scripts/ingest_era5_timeseries.py), đọc và kiểm tra bằng xarray; khớp với file theo vùng tháng 1–2/2024 tại cùng ô lưới. Theo vùng: 2016-01, 2016-02, 2024-01, 2024-02, đang tải tiếp 2024–2025. Chạy lại: bỏ qua theo checksum. Chờ bạn xác nhận Hoàn thành</t>
        </is>
      </c>
    </row>
    <row r="19" customFormat="false" ht="26.85" hidden="false" customHeight="false" outlineLevel="0" collapsed="false">
      <c r="A19" s="19" t="n">
        <v>15</v>
      </c>
      <c r="B19" s="19" t="n">
        <v>2</v>
      </c>
      <c r="C19" s="19" t="n">
        <v>3</v>
      </c>
      <c r="D19" s="19" t="s">
        <v>79</v>
      </c>
      <c r="E19" s="20" t="s">
        <v>84</v>
      </c>
      <c r="F19" s="20" t="s">
        <v>95</v>
      </c>
      <c r="G19" s="19" t="s">
        <v>17</v>
      </c>
      <c r="H19" s="20" t="str">
        <f aca="false">IF(G19="Cả nhóm","Cả nhóm",IFERROR(INDEX('Tổng quan'!$C$5:$C$7,MATCH(G19,'Tổng quan'!$B$5:$B$7,0)),""))</f>
        <v>Người 3</v>
      </c>
      <c r="I19" s="20"/>
      <c r="J19" s="20" t="s">
        <v>96</v>
      </c>
      <c r="K19" s="21" t="n">
        <f aca="false">'Tổng quan'!$E$11+(B19-1)*7</f>
        <v>46314</v>
      </c>
      <c r="L19" s="21" t="n">
        <f aca="false">'Tổng quan'!$E$11+(C19-1)*7+4</f>
        <v>46325</v>
      </c>
      <c r="M19" s="22" t="inlineStr">
        <is>
          <t>Đang làm</t>
        </is>
      </c>
      <c r="N19" s="23" t="n">
        <v>95</v>
      </c>
      <c r="O19" s="24" t="inlineStr">
        <is>
          <t>23/10: scripts/transform_era5_to_silver.py: K → °C, Pa → hPa, m → mm, gió từ u/v (tốc độ và hướng gió thổi đến), mây 0–1 → %, độ ẩm tính từ nhiệt độ và điểm sương (công thức Magnus); ô lưới gần nhất ghi ở grid_latitude/grid_longitude. Mưa ERA5 theo giờ đã là tổng từng giờ nên không cần khử cộng dồn (chỉ ERA5-Land cần). 701.376 dòng, 0 giá trị bị loại. So sánh với Open-Meteo (scripts/compare_era5_open_meteo.py): nhiệt độ tương quan 0,96–0,98; áp suất ở LCA, HBI lệch nhiều do độ cao ô lưới. Chưa nạp ERA5 vào DW (chưa quyết định). Chờ bạn xác nhận Hoàn thành</t>
        </is>
      </c>
    </row>
    <row r="20" customFormat="false" ht="15" hidden="false" customHeight="false" outlineLevel="0" collapsed="false">
      <c r="A20" s="19" t="n">
        <v>16</v>
      </c>
      <c r="B20" s="19" t="n">
        <v>4</v>
      </c>
      <c r="C20" s="19" t="n">
        <v>5</v>
      </c>
      <c r="D20" s="19" t="s">
        <v>97</v>
      </c>
      <c r="E20" s="20" t="s">
        <v>98</v>
      </c>
      <c r="F20" s="20" t="s">
        <v>99</v>
      </c>
      <c r="G20" s="19" t="s">
        <v>11</v>
      </c>
      <c r="H20" s="20" t="str">
        <f aca="false">IF(G20="Cả nhóm","Cả nhóm",IFERROR(INDEX('Tổng quan'!$C$5:$C$7,MATCH(G20,'Tổng quan'!$B$5:$B$7,0)),""))</f>
        <v>Người 1</v>
      </c>
      <c r="I20" s="20"/>
      <c r="J20" s="20" t="s">
        <v>100</v>
      </c>
      <c r="K20" s="21" t="n">
        <f aca="false">'Tổng quan'!$E$11+(B20-1)*7</f>
        <v>46328</v>
      </c>
      <c r="L20" s="21" t="n">
        <f aca="false">'Tổng quan'!$E$11+(C20-1)*7+4</f>
        <v>46339</v>
      </c>
      <c r="M20" s="22" t="inlineStr">
        <is>
          <t>Đang làm</t>
        </is>
      </c>
      <c r="N20" s="23" t="n">
        <v>80</v>
      </c>
      <c r="O20" s="24" t="inlineStr">
        <is>
          <t>21/10: Gold 2016–2025 nạp lại trên máy N1/N2, 120 tháng, 0 lỗi: 832.436 dòng (233 s) trước khi lọc Meteostat, sau đó 788.861 dòng (292 s). 22/10: nạp lại toàn bộ 2016–2025 (176 s, 0 lỗi, DW không đổi): cả 120 file Gold lưu station_key dạng số nguyên. Bộ đặc trưng ML nằm ở gold/ml_features (ID 23); chưa có bảng pivot đa nguồn 23/10: Gold mỗi tháng gồm cả ERA5 (3 nguồn: Open-Meteo, Meteostat, ERA5). Chưa có bảng pivot đa nguồn cho ML.</t>
        </is>
      </c>
    </row>
    <row r="21" customFormat="false" ht="26.85" hidden="false" customHeight="false" outlineLevel="0" collapsed="false">
      <c r="A21" s="19" t="n">
        <v>17</v>
      </c>
      <c r="B21" s="19" t="n">
        <v>4</v>
      </c>
      <c r="C21" s="19" t="n">
        <v>5</v>
      </c>
      <c r="D21" s="19" t="s">
        <v>97</v>
      </c>
      <c r="E21" s="20" t="s">
        <v>101</v>
      </c>
      <c r="F21" s="20" t="s">
        <v>102</v>
      </c>
      <c r="G21" s="19" t="s">
        <v>11</v>
      </c>
      <c r="H21" s="20" t="str">
        <f aca="false">IF(G21="Cả nhóm","Cả nhóm",IFERROR(INDEX('Tổng quan'!$C$5:$C$7,MATCH(G21,'Tổng quan'!$B$5:$B$7,0)),""))</f>
        <v>Người 1</v>
      </c>
      <c r="I21" s="20" t="s">
        <v>14</v>
      </c>
      <c r="J21" s="20" t="s">
        <v>103</v>
      </c>
      <c r="K21" s="21" t="n">
        <f aca="false">'Tổng quan'!$E$11+(B21-1)*7</f>
        <v>46328</v>
      </c>
      <c r="L21" s="21" t="n">
        <f aca="false">'Tổng quan'!$E$11+(C21-1)*7+4</f>
        <v>46339</v>
      </c>
      <c r="M21" s="22" t="inlineStr">
        <is>
          <t>Đang làm</t>
        </is>
      </c>
      <c r="N21" s="23" t="n">
        <v>95</v>
      </c>
      <c r="O21" s="24" t="inlineStr">
        <is>
          <t>22/10: dags/dag_weather_pipeline.py (weather_bronze_to_dw_dag): Open-Meteo, Meteostat, mưa ngày GHCNh: tải → Silver → seed dim → Gold/DW → đối chiếu DW với Silver (scripts/reconcile_dw.py). Tham số năm 2016–2025 và điểm; chạy tay, 1 lượt một lúc. Đã chạy: 2024 HAN, chạy lại không thêm dòng, cố ý tắt MinIO rồi chạy tiếp thành công, 2024 cả 8 điểm, và cả 2016–2025 (3 phút 43 giây; khớp 788.861 dòng giờ và 17.866 ngày mưa; không tải lại gì). Cửa sổ nhỏ nhất 1 năm × 1 điểm (đã chốt). Chờ bạn xác nhận Hoàn thành 23/10: thêm nhánh ERA5 (tải time-series → Silver) trước bước quality_gate. Chạy 2016–2025: 14/14 task thành công (lần đầu bước ERA5 lỗi vì container Airflow chưa có khóa CDS; đã sửa, chạy tiếp từ bước lỗi); đối chiếu 1.490.237 = 1.490.237 dòng giờ, 17.866 = 17.866 ngày mưa.</t>
        </is>
      </c>
    </row>
    <row r="22" customFormat="false" ht="15" hidden="false" customHeight="false" outlineLevel="0" collapsed="false">
      <c r="A22" s="19" t="n">
        <v>18</v>
      </c>
      <c r="B22" s="19" t="n">
        <v>4</v>
      </c>
      <c r="C22" s="19" t="n">
        <v>5</v>
      </c>
      <c r="D22" s="19" t="s">
        <v>97</v>
      </c>
      <c r="E22" s="20" t="s">
        <v>66</v>
      </c>
      <c r="F22" s="20" t="s">
        <v>104</v>
      </c>
      <c r="G22" s="19" t="s">
        <v>14</v>
      </c>
      <c r="H22" s="20" t="str">
        <f aca="false">IF(G22="Cả nhóm","Cả nhóm",IFERROR(INDEX('Tổng quan'!$C$5:$C$7,MATCH(G22,'Tổng quan'!$B$5:$B$7,0)),""))</f>
        <v>Người 2</v>
      </c>
      <c r="I22" s="20"/>
      <c r="J22" s="20" t="s">
        <v>105</v>
      </c>
      <c r="K22" s="21" t="n">
        <f aca="false">'Tổng quan'!$E$11+(B22-1)*7</f>
        <v>46328</v>
      </c>
      <c r="L22" s="21" t="n">
        <f aca="false">'Tổng quan'!$E$11+(C22-1)*7+4</f>
        <v>46339</v>
      </c>
      <c r="M22" s="22" t="inlineStr">
        <is>
          <t>Đang làm</t>
        </is>
      </c>
      <c r="N22" s="23" t="n">
        <v>95</v>
      </c>
      <c r="O22" s="24" t="inlineStr">
        <is>
          <t>21/10: DW sạch: 788.861 dòng (Open-Meteo 701.376 + Meteostat HAN 87.485), 0 trùng khóa; rút dòng sai đã kiểm chứng trên dữ liệu thật; lần nạp cuối 292 s (bản trước ghi 3.493 s là sai). 22/10: phạm vi xóa khi nạp lại tính theo phạm vi yêu cầu (nguồn biến mất bị xóa; thiếu file Silver Open-Meteo của một vị trí thì tháng đó báo lỗi); thêm pressure_type (sql/05). Chạy lại 2024 trên trạng thái hiện tại: 79.039 dòng, không đổi. Bản 994.145 dòng trên máy bacnx đã lỗi thời 23/10: nạp thêm ERA5 701.376 dòng (đã chốt nạp ERA5 theo đề cương §8, §10); DW 1.490.237 dòng, 0 trùng khóa; Open-Meteo, Meteostat, mưa ngày, dự báo không đổi.</t>
        </is>
      </c>
    </row>
    <row r="23" customFormat="false" ht="26.85" hidden="false" customHeight="false" outlineLevel="0" collapsed="false">
      <c r="A23" s="19" t="n">
        <v>19</v>
      </c>
      <c r="B23" s="19" t="n">
        <v>4</v>
      </c>
      <c r="C23" s="19" t="n">
        <v>5</v>
      </c>
      <c r="D23" s="19" t="s">
        <v>97</v>
      </c>
      <c r="E23" s="20" t="s">
        <v>106</v>
      </c>
      <c r="F23" s="20" t="s">
        <v>107</v>
      </c>
      <c r="G23" s="19" t="s">
        <v>14</v>
      </c>
      <c r="H23" s="20" t="str">
        <f aca="false">IF(G23="Cả nhóm","Cả nhóm",IFERROR(INDEX('Tổng quan'!$C$5:$C$7,MATCH(G23,'Tổng quan'!$B$5:$B$7,0)),""))</f>
        <v>Người 2</v>
      </c>
      <c r="I23" s="20"/>
      <c r="J23" s="20" t="s">
        <v>108</v>
      </c>
      <c r="K23" s="21" t="n">
        <f aca="false">'Tổng quan'!$E$11+(B23-1)*7</f>
        <v>46328</v>
      </c>
      <c r="L23" s="21" t="n">
        <f aca="false">'Tổng quan'!$E$11+(C23-1)*7+4</f>
        <v>46339</v>
      </c>
      <c r="M23" s="22" t="inlineStr">
        <is>
          <t>Đang làm</t>
        </is>
      </c>
      <c r="N23" s="23" t="n">
        <v>90</v>
      </c>
      <c r="O23" s="24" t="inlineStr">
        <is>
          <t>21/10: sql/02_olap_views.sql (6 view giờ/ngày/tháng/năm/độ phủ), ngày mưa ≥1 mm, ngày nóng ≥35 °C; đối soát giờ→ngày→tháng→năm khớp 0 chênh trên 788.861 dòng; 3 test tích hợp. Chưa dùng trong Power BI</t>
        </is>
      </c>
    </row>
    <row r="24" customFormat="false" ht="15" hidden="false" customHeight="false" outlineLevel="0" collapsed="false">
      <c r="A24" s="19" t="n">
        <v>20</v>
      </c>
      <c r="B24" s="19" t="n">
        <v>4</v>
      </c>
      <c r="C24" s="19" t="n">
        <v>5</v>
      </c>
      <c r="D24" s="19" t="s">
        <v>97</v>
      </c>
      <c r="E24" s="20" t="s">
        <v>109</v>
      </c>
      <c r="F24" s="20" t="s">
        <v>110</v>
      </c>
      <c r="G24" s="19" t="s">
        <v>14</v>
      </c>
      <c r="H24" s="20" t="str">
        <f aca="false">IF(G24="Cả nhóm","Cả nhóm",IFERROR(INDEX('Tổng quan'!$C$5:$C$7,MATCH(G24,'Tổng quan'!$B$5:$B$7,0)),""))</f>
        <v>Người 2</v>
      </c>
      <c r="I24" s="20"/>
      <c r="J24" s="20" t="s">
        <v>111</v>
      </c>
      <c r="K24" s="21" t="n">
        <f aca="false">'Tổng quan'!$E$11+(B24-1)*7</f>
        <v>46328</v>
      </c>
      <c r="L24" s="21" t="n">
        <f aca="false">'Tổng quan'!$E$11+(C24-1)*7+4</f>
        <v>46339</v>
      </c>
      <c r="M24" s="22" t="inlineStr">
        <is>
          <t>Đang làm</t>
        </is>
      </c>
      <c r="N24" s="23" t="n">
        <v>30</v>
      </c>
      <c r="O24" s="24" t="inlineStr">
        <is>
          <t>21/10: có hướng dẫn dựng (docs/powerbi-dashboard-v1.md): mô hình, DAX, 5 trang, bảng số đối chiếu. 22/10: sửa DAX đếm ngày mưa/nóng (trả 0 thay vì trống; trước đó trung bình theo vị trí bị lệch, vd tháng 3/2024 ra 1,33 thay vì 0,50). Chưa có file .pbix (cần máy Windows), chưa kiểm tra trong Power BI</t>
        </is>
      </c>
    </row>
    <row r="25" customFormat="false" ht="15" hidden="false" customHeight="false" outlineLevel="0" collapsed="false">
      <c r="A25" s="19" t="n">
        <v>21</v>
      </c>
      <c r="B25" s="19" t="n">
        <v>4</v>
      </c>
      <c r="C25" s="19" t="n">
        <v>5</v>
      </c>
      <c r="D25" s="19" t="s">
        <v>97</v>
      </c>
      <c r="E25" s="20" t="s">
        <v>112</v>
      </c>
      <c r="F25" s="20" t="s">
        <v>113</v>
      </c>
      <c r="G25" s="19" t="s">
        <v>17</v>
      </c>
      <c r="H25" s="20" t="str">
        <f aca="false">IF(G25="Cả nhóm","Cả nhóm",IFERROR(INDEX('Tổng quan'!$C$5:$C$7,MATCH(G25,'Tổng quan'!$B$5:$B$7,0)),""))</f>
        <v>Người 3</v>
      </c>
      <c r="I25" s="20"/>
      <c r="J25" s="20" t="s">
        <v>114</v>
      </c>
      <c r="K25" s="21" t="n">
        <f aca="false">'Tổng quan'!$E$11+(B25-1)*7</f>
        <v>46328</v>
      </c>
      <c r="L25" s="21" t="n">
        <f aca="false">'Tổng quan'!$E$11+(C25-1)*7+4</f>
        <v>46339</v>
      </c>
      <c r="M25" s="22" t="inlineStr">
        <is>
          <t>Đang làm</t>
        </is>
      </c>
      <c r="N25" s="23" t="n">
        <v>90</v>
      </c>
      <c r="O25" s="24" t="inlineStr">
        <is>
          <t>22/10: notebooks/eda_rain_next24h.ipynb (nhãn đã sửa), chỉ dùng train để chọn biến: mùa vụ mạnh theo tháng giờ Việt Nam (T8 78,6%, T12 26,5%; bản trước dùng tháng UTC), giờ trong ngày gần như không ảnh hưởng (51,3-52,0%), biến tách tốt nhất: điểm sương, mưa 24h trước, độ ẩm. Thêm bảng tương quan Spearman: cặp mạnh độ ẩm–chênh điểm sương (-1,00), nhiệt độ–điểm sương (0,87), điểm sương–áp suất (-0,80). Logic trong scripts/rain_eda.py có test. Do N1/N2 làm thay N3</t>
        </is>
      </c>
    </row>
    <row r="26" customFormat="false" ht="15" hidden="false" customHeight="false" outlineLevel="0" collapsed="false">
      <c r="A26" s="19" t="n">
        <v>22</v>
      </c>
      <c r="B26" s="19" t="n">
        <v>4</v>
      </c>
      <c r="C26" s="19" t="n">
        <v>5</v>
      </c>
      <c r="D26" s="19" t="s">
        <v>97</v>
      </c>
      <c r="E26" s="20" t="s">
        <v>112</v>
      </c>
      <c r="F26" s="20" t="s">
        <v>115</v>
      </c>
      <c r="G26" s="19" t="s">
        <v>17</v>
      </c>
      <c r="H26" s="20" t="str">
        <f aca="false">IF(G26="Cả nhóm","Cả nhóm",IFERROR(INDEX('Tổng quan'!$C$5:$C$7,MATCH(G26,'Tổng quan'!$B$5:$B$7,0)),""))</f>
        <v>Người 3</v>
      </c>
      <c r="I26" s="20"/>
      <c r="J26" s="20" t="s">
        <v>116</v>
      </c>
      <c r="K26" s="21" t="n">
        <f aca="false">'Tổng quan'!$E$11+(B26-1)*7</f>
        <v>46328</v>
      </c>
      <c r="L26" s="21" t="n">
        <f aca="false">'Tổng quan'!$E$11+(C26-1)*7+4</f>
        <v>46339</v>
      </c>
      <c r="M26" s="22" t="inlineStr">
        <is>
          <t>Đang làm</t>
        </is>
      </c>
      <c r="N26" s="23" t="n">
        <v>95</v>
      </c>
      <c r="O26" s="24" t="inlineStr">
        <is>
          <t>22/10: nhãn v2 (rain_next24h_v0.2.1) gold/ml_labels/rain_next24h_labels_v2.parquet: 700.800 nhãn dùng được, Yes 51,6% / 50,1% / 49,7% (train/val/test), 576 loại ở ranh giới. Đã sửa lỗi cộng số thực: bản v1 gán Không mưa cho 5.147 cửa sổ đúng 1,0 mm (0,73%); phát hiện nhờ đối chiếu DW ở ID 31. Có test hồi quy. Do N1/N2 làm thay N3</t>
        </is>
      </c>
    </row>
    <row r="27" customFormat="false" ht="26.85" hidden="false" customHeight="false" outlineLevel="0" collapsed="false">
      <c r="A27" s="19" t="n">
        <v>23</v>
      </c>
      <c r="B27" s="19" t="n">
        <v>4</v>
      </c>
      <c r="C27" s="19" t="n">
        <v>5</v>
      </c>
      <c r="D27" s="19" t="s">
        <v>97</v>
      </c>
      <c r="E27" s="20" t="s">
        <v>112</v>
      </c>
      <c r="F27" s="20" t="s">
        <v>117</v>
      </c>
      <c r="G27" s="19" t="s">
        <v>17</v>
      </c>
      <c r="H27" s="20" t="str">
        <f aca="false">IF(G27="Cả nhóm","Cả nhóm",IFERROR(INDEX('Tổng quan'!$C$5:$C$7,MATCH(G27,'Tổng quan'!$B$5:$B$7,0)),""))</f>
        <v>Người 3</v>
      </c>
      <c r="I27" s="20"/>
      <c r="J27" s="20" t="s">
        <v>118</v>
      </c>
      <c r="K27" s="21" t="n">
        <f aca="false">'Tổng quan'!$E$11+(B27-1)*7</f>
        <v>46328</v>
      </c>
      <c r="L27" s="21" t="n">
        <f aca="false">'Tổng quan'!$E$11+(C27-1)*7+4</f>
        <v>46339</v>
      </c>
      <c r="M27" s="22" t="inlineStr">
        <is>
          <t>Đang làm</t>
        </is>
      </c>
      <c r="N27" s="23" t="n">
        <v>90</v>
      </c>
      <c r="O27" s="24" t="inlineStr">
        <is>
          <t>22/10: đặc trưng v2 gold/ml_features/cart_rain_{train_2016_2023,val_2024,test_2025}_v2.parquet + manifest (nhãn v0.2.1, tổng mưa làm tròn); v1 giữ cho model v1. 22 đặc trưng chỉ từ Open-Meteo, 700.800 dòng; thiếu chỉ ở 24 giờ đầu 2016. Test chống rò rỉ, thiếu giờ, không lẫn vị trí. Do N1/N2 làm thay N3</t>
        </is>
      </c>
    </row>
    <row r="28" customFormat="false" ht="26.85" hidden="false" customHeight="false" outlineLevel="0" collapsed="false">
      <c r="A28" s="19" t="n">
        <v>24</v>
      </c>
      <c r="B28" s="19" t="n">
        <v>6</v>
      </c>
      <c r="C28" s="19" t="n">
        <v>7</v>
      </c>
      <c r="D28" s="19" t="s">
        <v>119</v>
      </c>
      <c r="E28" s="20" t="s">
        <v>120</v>
      </c>
      <c r="F28" s="20" t="s">
        <v>121</v>
      </c>
      <c r="G28" s="19" t="s">
        <v>11</v>
      </c>
      <c r="H28" s="20" t="str">
        <f aca="false">IF(G28="Cả nhóm","Cả nhóm",IFERROR(INDEX('Tổng quan'!$C$5:$C$7,MATCH(G28,'Tổng quan'!$B$5:$B$7,0)),""))</f>
        <v>Người 1</v>
      </c>
      <c r="I28" s="20"/>
      <c r="J28" s="20" t="s">
        <v>122</v>
      </c>
      <c r="K28" s="21" t="n">
        <f aca="false">'Tổng quan'!$E$11+(B28-1)*7</f>
        <v>46342</v>
      </c>
      <c r="L28" s="21" t="n">
        <f aca="false">'Tổng quan'!$E$11+(C28-1)*7+4</f>
        <v>46353</v>
      </c>
      <c r="M28" s="22" t="inlineStr">
        <is>
          <t>Đang làm</t>
        </is>
      </c>
      <c r="N28" s="23" t="n">
        <v>95</v>
      </c>
      <c r="O28" s="24" t="inlineStr">
        <is>
          <t>22/10: scripts/quality_gate.py, task quality_gate trong DAG (sau bước Silver, trước khi ghi DW). Dừng DAG khi: thiếu cột hoặc khóa trống; giờ không UTC hoặc sai tháng; trùng nguồn × điểm × giờ; giá trị ngoài khoảng hợp lệ của data-contract; thiếu giờ Open-Meteo; GHCNh trùng ngày, sai khung 12:00 UTC, mưa ngoài 0–999 mm. Cảnh báo, không dừng (ngưỡng chốt 22/10 từ dữ liệu 2016–2025): độ phủ Meteostat &lt; 95%, GHCNh &lt; 90%; Open-Meteo thiếu giá trị; Meteostat thiếu nhiệt độ/độ ẩm &gt; 5%; nhiệt độ ngoài 0–45 °C; áp suất ngoài 950–1050 hPa; mưa giờ &gt; 100 mm; mưa ngày ≥ 300 mm chưa duyệt. Dữ liệu thật 2016–2025: 712 kiểm tra, 0 lỗi, 0 cảnh báo; DAG 2024 HAN 12/12 task; test tích hợp xác nhận task Airflow báo lỗi khi Silver sai. Chờ bạn xác nhận Hoàn thành 23/10: kiểm tra cả ERA5 (bắt buộc đủ giờ; cảnh báo áp suất ngoài 900–1050 hPa vì ô lưới cao hơn điểm): 1.032 kiểm tra, 0 lỗi, 0 cảnh báo.</t>
        </is>
      </c>
    </row>
    <row r="29" customFormat="false" ht="15" hidden="false" customHeight="false" outlineLevel="0" collapsed="false">
      <c r="A29" s="19" t="n">
        <v>25</v>
      </c>
      <c r="B29" s="19" t="n">
        <v>6</v>
      </c>
      <c r="C29" s="19" t="n">
        <v>7</v>
      </c>
      <c r="D29" s="19" t="s">
        <v>119</v>
      </c>
      <c r="E29" s="20" t="s">
        <v>101</v>
      </c>
      <c r="F29" s="20" t="s">
        <v>123</v>
      </c>
      <c r="G29" s="19" t="s">
        <v>11</v>
      </c>
      <c r="H29" s="20" t="str">
        <f aca="false">IF(G29="Cả nhóm","Cả nhóm",IFERROR(INDEX('Tổng quan'!$C$5:$C$7,MATCH(G29,'Tổng quan'!$B$5:$B$7,0)),""))</f>
        <v>Người 1</v>
      </c>
      <c r="I29" s="20"/>
      <c r="J29" s="20" t="s">
        <v>124</v>
      </c>
      <c r="K29" s="21" t="n">
        <f aca="false">'Tổng quan'!$E$11+(B29-1)*7</f>
        <v>46342</v>
      </c>
      <c r="L29" s="21" t="n">
        <f aca="false">'Tổng quan'!$E$11+(C29-1)*7+4</f>
        <v>46353</v>
      </c>
      <c r="M29" s="22" t="s">
        <v>62</v>
      </c>
      <c r="N29" s="23" t="n">
        <v>0</v>
      </c>
      <c r="O29" s="24"/>
    </row>
    <row r="30" customFormat="false" ht="26.85" hidden="false" customHeight="false" outlineLevel="0" collapsed="false">
      <c r="A30" s="19" t="n">
        <v>26</v>
      </c>
      <c r="B30" s="19" t="n">
        <v>6</v>
      </c>
      <c r="C30" s="19" t="n">
        <v>7</v>
      </c>
      <c r="D30" s="19" t="s">
        <v>119</v>
      </c>
      <c r="E30" s="20" t="s">
        <v>66</v>
      </c>
      <c r="F30" s="20" t="s">
        <v>125</v>
      </c>
      <c r="G30" s="19" t="s">
        <v>11</v>
      </c>
      <c r="H30" s="20" t="str">
        <f aca="false">IF(G30="Cả nhóm","Cả nhóm",IFERROR(INDEX('Tổng quan'!$C$5:$C$7,MATCH(G30,'Tổng quan'!$B$5:$B$7,0)),""))</f>
        <v>Người 1</v>
      </c>
      <c r="I30" s="20" t="s">
        <v>14</v>
      </c>
      <c r="J30" s="20" t="s">
        <v>126</v>
      </c>
      <c r="K30" s="21" t="n">
        <f aca="false">'Tổng quan'!$E$11+(B30-1)*7</f>
        <v>46342</v>
      </c>
      <c r="L30" s="21" t="n">
        <f aca="false">'Tổng quan'!$E$11+(C30-1)*7+4</f>
        <v>46353</v>
      </c>
      <c r="M30" s="22" t="s">
        <v>62</v>
      </c>
      <c r="N30" s="23" t="n">
        <v>0</v>
      </c>
      <c r="O30" s="24"/>
    </row>
    <row r="31" customFormat="false" ht="26.85" hidden="false" customHeight="false" outlineLevel="0" collapsed="false">
      <c r="A31" s="19" t="n">
        <v>27</v>
      </c>
      <c r="B31" s="19" t="n">
        <v>6</v>
      </c>
      <c r="C31" s="19" t="n">
        <v>7</v>
      </c>
      <c r="D31" s="19" t="s">
        <v>119</v>
      </c>
      <c r="E31" s="20" t="s">
        <v>109</v>
      </c>
      <c r="F31" s="20" t="s">
        <v>127</v>
      </c>
      <c r="G31" s="19" t="s">
        <v>14</v>
      </c>
      <c r="H31" s="20" t="str">
        <f aca="false">IF(G31="Cả nhóm","Cả nhóm",IFERROR(INDEX('Tổng quan'!$C$5:$C$7,MATCH(G31,'Tổng quan'!$B$5:$B$7,0)),""))</f>
        <v>Người 2</v>
      </c>
      <c r="I31" s="20"/>
      <c r="J31" s="20" t="s">
        <v>128</v>
      </c>
      <c r="K31" s="21" t="n">
        <f aca="false">'Tổng quan'!$E$11+(B31-1)*7</f>
        <v>46342</v>
      </c>
      <c r="L31" s="21" t="n">
        <f aca="false">'Tổng quan'!$E$11+(C31-1)*7+4</f>
        <v>46353</v>
      </c>
      <c r="M31" s="22" t="s">
        <v>62</v>
      </c>
      <c r="N31" s="23" t="n">
        <v>0</v>
      </c>
      <c r="O31" s="24"/>
    </row>
    <row r="32" customFormat="false" ht="26.85" hidden="false" customHeight="false" outlineLevel="0" collapsed="false">
      <c r="A32" s="19" t="n">
        <v>28</v>
      </c>
      <c r="B32" s="19" t="n">
        <v>6</v>
      </c>
      <c r="C32" s="19" t="n">
        <v>7</v>
      </c>
      <c r="D32" s="19" t="s">
        <v>119</v>
      </c>
      <c r="E32" s="20" t="s">
        <v>112</v>
      </c>
      <c r="F32" s="20" t="s">
        <v>129</v>
      </c>
      <c r="G32" s="19" t="s">
        <v>17</v>
      </c>
      <c r="H32" s="20" t="str">
        <f aca="false">IF(G32="Cả nhóm","Cả nhóm",IFERROR(INDEX('Tổng quan'!$C$5:$C$7,MATCH(G32,'Tổng quan'!$B$5:$B$7,0)),""))</f>
        <v>Người 3</v>
      </c>
      <c r="I32" s="20"/>
      <c r="J32" s="20" t="s">
        <v>130</v>
      </c>
      <c r="K32" s="21" t="n">
        <f aca="false">'Tổng quan'!$E$11+(B32-1)*7</f>
        <v>46342</v>
      </c>
      <c r="L32" s="21" t="n">
        <f aca="false">'Tổng quan'!$E$11+(C32-1)*7+4</f>
        <v>46353</v>
      </c>
      <c r="M32" s="22" t="inlineStr">
        <is>
          <t>Đang làm</t>
        </is>
      </c>
      <c r="N32" s="23" t="n">
        <v>90</v>
      </c>
      <c r="O32" s="24" t="inlineStr">
        <is>
          <t>21/10: gold/ml_models/cart_rain_next24h_v1 (model.joblib + report.json). Lưới 120 cấu hình, chọn trên validation 2024: max_depth=8, min_samples_leaf=50, class_weight=balanced, ccp_alpha=1e-4, 88 lá, ngưỡng 0,40. Validation (nhãn đã sửa 22/10): Precision 0,760 / Recall 0,819 / F1 0,789. Model train trên nhãn v1 (0,73% sai), không train lại để giữ test độc lập. 22/10: chặn ghi đè model (model đã chấm test thì không cho ghi đè). Chọn cấu hình và ngưỡng theo F1. Quy tắc ưu tiên Recall đã chốt 22/10: ngưỡng 0,36 (Recall validation 0,88); 0,40 vẫn là kết quả test chính thức. Chờ N3 duyệt (rain-label.md). Do N1/N2 làm thay N3</t>
        </is>
      </c>
    </row>
    <row r="33" customFormat="false" ht="26.85" hidden="false" customHeight="false" outlineLevel="0" collapsed="false">
      <c r="A33" s="19" t="n">
        <v>29</v>
      </c>
      <c r="B33" s="19" t="n">
        <v>6</v>
      </c>
      <c r="C33" s="19" t="n">
        <v>7</v>
      </c>
      <c r="D33" s="19" t="s">
        <v>119</v>
      </c>
      <c r="E33" s="20" t="s">
        <v>131</v>
      </c>
      <c r="F33" s="20" t="s">
        <v>132</v>
      </c>
      <c r="G33" s="19" t="s">
        <v>17</v>
      </c>
      <c r="H33" s="20" t="str">
        <f aca="false">IF(G33="Cả nhóm","Cả nhóm",IFERROR(INDEX('Tổng quan'!$C$5:$C$7,MATCH(G33,'Tổng quan'!$B$5:$B$7,0)),""))</f>
        <v>Người 3</v>
      </c>
      <c r="I33" s="20"/>
      <c r="J33" s="20" t="s">
        <v>133</v>
      </c>
      <c r="K33" s="21" t="n">
        <f aca="false">'Tổng quan'!$E$11+(B33-1)*7</f>
        <v>46342</v>
      </c>
      <c r="L33" s="21" t="n">
        <f aca="false">'Tổng quan'!$E$11+(C33-1)*7+4</f>
        <v>46353</v>
      </c>
      <c r="M33" s="22" t="inlineStr">
        <is>
          <t>Đang làm</t>
        </is>
      </c>
      <c r="N33" s="23" t="n">
        <v>90</v>
      </c>
      <c r="O33" s="24" t="inlineStr">
        <is>
          <t>22/10: đánh giá 1 lần trên test 2025, model + ngưỡng 0,40 chốt từ validation. Chấm lại với nhãn đã sửa (dự đoán giữ nguyên, kiểm SHA-256 model): TP 27.467 / FP 8.569 / TN 26.617 / FN 7.235; Accuracy 0,774, Precision 0,762, Recall 0,792, F1 0,777 (dự báo theo hiện trạng F1 0,729). Mùa mưa F1 0,836, mùa khô 0,624. Khớp hoàn toàn với view DW. test_predictions.parquet giữ nhãn cũ v0.2: phân tích lấy nhãn từ đặc trưng v2. Do N1/N2 làm thay N3</t>
        </is>
      </c>
    </row>
    <row r="34" customFormat="false" ht="15" hidden="false" customHeight="false" outlineLevel="0" collapsed="false">
      <c r="A34" s="19" t="n">
        <v>30</v>
      </c>
      <c r="B34" s="19" t="n">
        <v>6</v>
      </c>
      <c r="C34" s="19" t="n">
        <v>7</v>
      </c>
      <c r="D34" s="19" t="s">
        <v>119</v>
      </c>
      <c r="E34" s="20" t="s">
        <v>112</v>
      </c>
      <c r="F34" s="20" t="s">
        <v>134</v>
      </c>
      <c r="G34" s="19" t="s">
        <v>17</v>
      </c>
      <c r="H34" s="20" t="str">
        <f aca="false">IF(G34="Cả nhóm","Cả nhóm",IFERROR(INDEX('Tổng quan'!$C$5:$C$7,MATCH(G34,'Tổng quan'!$B$5:$B$7,0)),""))</f>
        <v>Người 3</v>
      </c>
      <c r="I34" s="20"/>
      <c r="J34" s="20" t="s">
        <v>135</v>
      </c>
      <c r="K34" s="21" t="n">
        <f aca="false">'Tổng quan'!$E$11+(B34-1)*7</f>
        <v>46342</v>
      </c>
      <c r="L34" s="21" t="n">
        <f aca="false">'Tổng quan'!$E$11+(C34-1)*7+4</f>
        <v>46353</v>
      </c>
      <c r="M34" s="22" t="inlineStr">
        <is>
          <t>Đang làm</t>
        </is>
      </c>
      <c r="N34" s="23" t="n">
        <v>90</v>
      </c>
      <c r="O34" s="24" t="inlineStr">
        <is>
          <t>22/10: notebooks/cart_tree_rules.ipynb (SHA-256 đúng model ID 29): hình 3 tầng đầu, 88 luật bằng tên + đơn vị thật, độ quan trọng, 4 ví dụ test 2025, hồ sơ ca bỏ sót trên validation (nhãn đã sửa): 65% dưới 5 mm, 55% xác suất 0,30-0,40, mưa sau 24h khô chỉ bắt được 17% (mùa khô 2,5%). Đã sửa lời diễn giải «mưa không báo trước». Ý tưởng thêm hướng gió đến từ một ví dụ test 2025: phải chứng minh bằng EDA trên train trước. Do N1/N2 làm thay N3</t>
        </is>
      </c>
    </row>
    <row r="35" customFormat="false" ht="26.85" hidden="false" customHeight="false" outlineLevel="0" collapsed="false">
      <c r="A35" s="19" t="n">
        <v>31</v>
      </c>
      <c r="B35" s="19" t="n">
        <v>8</v>
      </c>
      <c r="C35" s="19" t="n">
        <v>8</v>
      </c>
      <c r="D35" s="19" t="s">
        <v>136</v>
      </c>
      <c r="E35" s="20" t="s">
        <v>137</v>
      </c>
      <c r="F35" s="20" t="s">
        <v>138</v>
      </c>
      <c r="G35" s="19" t="s">
        <v>17</v>
      </c>
      <c r="H35" s="20" t="str">
        <f aca="false">IF(G35="Cả nhóm","Cả nhóm",IFERROR(INDEX('Tổng quan'!$C$5:$C$7,MATCH(G35,'Tổng quan'!$B$5:$B$7,0)),""))</f>
        <v>Người 3</v>
      </c>
      <c r="I35" s="20" t="s">
        <v>14</v>
      </c>
      <c r="J35" s="20" t="s">
        <v>139</v>
      </c>
      <c r="K35" s="21" t="n">
        <f aca="false">'Tổng quan'!$E$11+(B35-1)*7</f>
        <v>46356</v>
      </c>
      <c r="L35" s="21" t="n">
        <f aca="false">'Tổng quan'!$E$11+(C35-1)*7+4</f>
        <v>46360</v>
      </c>
      <c r="M35" s="22" t="inlineStr">
        <is>
          <t>Đang làm</t>
        </is>
      </c>
      <c r="N35" s="23" t="n">
        <v>90</v>
      </c>
      <c r="O35" s="24" t="inlineStr">
        <is>
          <t>22/10: sql/04_predictions.sql (dim_model, khóa duy nhất model × vị trí × origin UTC, cửa sổ mục tiêu, view vw_prediction_vs_actual) + scripts/load_predictions.py. Đã nạp 69.888 dự đoán test 2025, chạy lại không trùng. View đối chiếu đã phát hiện lỗi nhãn ID 22 (đã sửa); ma trận nhầm lẫn DW = kết quả chấm lại. sql/05: dim_model ghi rõ nhãn của từng chỉ số (chọn trên v0.2, F1 val 0,786; test trên v0.2.1, F1 val trên nhãn này 0,789). Do N1/N2 làm thay N3</t>
        </is>
      </c>
    </row>
    <row r="36" customFormat="false" ht="15" hidden="false" customHeight="false" outlineLevel="0" collapsed="false">
      <c r="A36" s="19" t="n">
        <v>32</v>
      </c>
      <c r="B36" s="19" t="n">
        <v>8</v>
      </c>
      <c r="C36" s="19" t="n">
        <v>8</v>
      </c>
      <c r="D36" s="19" t="s">
        <v>136</v>
      </c>
      <c r="E36" s="20" t="s">
        <v>101</v>
      </c>
      <c r="F36" s="20" t="s">
        <v>140</v>
      </c>
      <c r="G36" s="19" t="s">
        <v>11</v>
      </c>
      <c r="H36" s="20" t="str">
        <f aca="false">IF(G36="Cả nhóm","Cả nhóm",IFERROR(INDEX('Tổng quan'!$C$5:$C$7,MATCH(G36,'Tổng quan'!$B$5:$B$7,0)),""))</f>
        <v>Người 1</v>
      </c>
      <c r="I36" s="20" t="s">
        <v>17</v>
      </c>
      <c r="J36" s="20" t="s">
        <v>141</v>
      </c>
      <c r="K36" s="21" t="n">
        <f aca="false">'Tổng quan'!$E$11+(B36-1)*7</f>
        <v>46356</v>
      </c>
      <c r="L36" s="21" t="n">
        <f aca="false">'Tổng quan'!$E$11+(C36-1)*7+4</f>
        <v>46360</v>
      </c>
      <c r="M36" s="22" t="s">
        <v>62</v>
      </c>
      <c r="N36" s="23" t="n">
        <v>0</v>
      </c>
      <c r="O36" s="24"/>
    </row>
    <row r="37" customFormat="false" ht="15" hidden="false" customHeight="false" outlineLevel="0" collapsed="false">
      <c r="A37" s="19" t="n">
        <v>33</v>
      </c>
      <c r="B37" s="19" t="n">
        <v>8</v>
      </c>
      <c r="C37" s="19" t="n">
        <v>8</v>
      </c>
      <c r="D37" s="19" t="s">
        <v>136</v>
      </c>
      <c r="E37" s="20" t="s">
        <v>109</v>
      </c>
      <c r="F37" s="20" t="s">
        <v>142</v>
      </c>
      <c r="G37" s="19" t="s">
        <v>14</v>
      </c>
      <c r="H37" s="20" t="str">
        <f aca="false">IF(G37="Cả nhóm","Cả nhóm",IFERROR(INDEX('Tổng quan'!$C$5:$C$7,MATCH(G37,'Tổng quan'!$B$5:$B$7,0)),""))</f>
        <v>Người 2</v>
      </c>
      <c r="I37" s="20" t="s">
        <v>17</v>
      </c>
      <c r="J37" s="20" t="s">
        <v>143</v>
      </c>
      <c r="K37" s="21" t="n">
        <f aca="false">'Tổng quan'!$E$11+(B37-1)*7</f>
        <v>46356</v>
      </c>
      <c r="L37" s="21" t="n">
        <f aca="false">'Tổng quan'!$E$11+(C37-1)*7+4</f>
        <v>46360</v>
      </c>
      <c r="M37" s="22" t="s">
        <v>62</v>
      </c>
      <c r="N37" s="23" t="n">
        <v>0</v>
      </c>
      <c r="O37" s="24"/>
    </row>
    <row r="38" customFormat="false" ht="15" hidden="false" customHeight="false" outlineLevel="0" collapsed="false">
      <c r="A38" s="19" t="n">
        <v>34</v>
      </c>
      <c r="B38" s="19" t="n">
        <v>9</v>
      </c>
      <c r="C38" s="19" t="n">
        <v>9</v>
      </c>
      <c r="D38" s="19" t="s">
        <v>144</v>
      </c>
      <c r="E38" s="20" t="s">
        <v>145</v>
      </c>
      <c r="F38" s="20" t="s">
        <v>146</v>
      </c>
      <c r="G38" s="19" t="s">
        <v>11</v>
      </c>
      <c r="H38" s="20" t="str">
        <f aca="false">IF(G38="Cả nhóm","Cả nhóm",IFERROR(INDEX('Tổng quan'!$C$5:$C$7,MATCH(G38,'Tổng quan'!$B$5:$B$7,0)),""))</f>
        <v>Người 1</v>
      </c>
      <c r="I38" s="20"/>
      <c r="J38" s="20" t="s">
        <v>147</v>
      </c>
      <c r="K38" s="21" t="n">
        <f aca="false">'Tổng quan'!$E$11+(B38-1)*7</f>
        <v>46363</v>
      </c>
      <c r="L38" s="21" t="n">
        <f aca="false">'Tổng quan'!$E$11+(C38-1)*7+4</f>
        <v>46367</v>
      </c>
      <c r="M38" s="22" t="s">
        <v>62</v>
      </c>
      <c r="N38" s="23" t="n">
        <v>0</v>
      </c>
      <c r="O38" s="24"/>
    </row>
    <row r="39" customFormat="false" ht="15" hidden="false" customHeight="false" outlineLevel="0" collapsed="false">
      <c r="A39" s="19" t="n">
        <v>35</v>
      </c>
      <c r="B39" s="19" t="n">
        <v>9</v>
      </c>
      <c r="C39" s="19" t="n">
        <v>9</v>
      </c>
      <c r="D39" s="19" t="s">
        <v>144</v>
      </c>
      <c r="E39" s="20" t="s">
        <v>145</v>
      </c>
      <c r="F39" s="20" t="s">
        <v>148</v>
      </c>
      <c r="G39" s="19" t="s">
        <v>14</v>
      </c>
      <c r="H39" s="20" t="str">
        <f aca="false">IF(G39="Cả nhóm","Cả nhóm",IFERROR(INDEX('Tổng quan'!$C$5:$C$7,MATCH(G39,'Tổng quan'!$B$5:$B$7,0)),""))</f>
        <v>Người 2</v>
      </c>
      <c r="I39" s="20"/>
      <c r="J39" s="20" t="s">
        <v>149</v>
      </c>
      <c r="K39" s="21" t="n">
        <f aca="false">'Tổng quan'!$E$11+(B39-1)*7</f>
        <v>46363</v>
      </c>
      <c r="L39" s="21" t="n">
        <f aca="false">'Tổng quan'!$E$11+(C39-1)*7+4</f>
        <v>46367</v>
      </c>
      <c r="M39" s="22" t="s">
        <v>62</v>
      </c>
      <c r="N39" s="23" t="n">
        <v>0</v>
      </c>
      <c r="O39" s="24"/>
    </row>
    <row r="40" customFormat="false" ht="15" hidden="false" customHeight="false" outlineLevel="0" collapsed="false">
      <c r="A40" s="19" t="n">
        <v>36</v>
      </c>
      <c r="B40" s="19" t="n">
        <v>9</v>
      </c>
      <c r="C40" s="19" t="n">
        <v>9</v>
      </c>
      <c r="D40" s="19" t="s">
        <v>144</v>
      </c>
      <c r="E40" s="20" t="s">
        <v>131</v>
      </c>
      <c r="F40" s="20" t="s">
        <v>150</v>
      </c>
      <c r="G40" s="19" t="s">
        <v>17</v>
      </c>
      <c r="H40" s="20" t="str">
        <f aca="false">IF(G40="Cả nhóm","Cả nhóm",IFERROR(INDEX('Tổng quan'!$C$5:$C$7,MATCH(G40,'Tổng quan'!$B$5:$B$7,0)),""))</f>
        <v>Người 3</v>
      </c>
      <c r="I40" s="20"/>
      <c r="J40" s="20" t="s">
        <v>151</v>
      </c>
      <c r="K40" s="21" t="n">
        <f aca="false">'Tổng quan'!$E$11+(B40-1)*7</f>
        <v>46363</v>
      </c>
      <c r="L40" s="21" t="n">
        <f aca="false">'Tổng quan'!$E$11+(C40-1)*7+4</f>
        <v>46367</v>
      </c>
      <c r="M40" s="22" t="inlineStr">
        <is>
          <t>Đang làm</t>
        </is>
      </c>
      <c r="N40" s="23" t="n">
        <v>95</v>
      </c>
      <c r="O40" s="24" t="inlineStr">
        <is>
          <t>23/10: scripts/analyze_cart_thresholds.py → gold/ml_models/cart_rain_next24h_v1/threshold_error_analysis.json. So sánh ngưỡng trên validation 2024 (lưới 0,30–0,70 của quy tắc chọn ngưỡng): quy tắc F1 vẫn ra 0,40 (ngưỡng chính thức), quy tắc ưu tiên Recall ra 0,36. Test 2025 chỉ tính ở các ngưỡng đã chốt (phân tích sau, có ghi rõ): 0,40 → P 0,762 / R 0,792 / F1 0,777; 0,36 → 0,723 / 0,848 / 0,780 (thêm 2.709 báo động giả, bớt 1.945 ca bỏ sót). Lỗi: bỏ sót nhiều nhất ở mưa nhẹ 1–2 mm (42%); báo động giả phần lớn là cửa sổ có 0–1 mm; mưa sau 24 giờ khô chỉ bắt được 17%; mùa mưa F1 0,836, mùa khô 0,624. Chi tiết: rain-label.md. Do N1/N2 làm thay N3. Chờ bạn xác nhận Hoàn thành</t>
        </is>
      </c>
    </row>
    <row r="41" customFormat="false" ht="15" hidden="false" customHeight="false" outlineLevel="0" collapsed="false">
      <c r="A41" s="19" t="n">
        <v>37</v>
      </c>
      <c r="B41" s="19" t="n">
        <v>10</v>
      </c>
      <c r="C41" s="19" t="n">
        <v>10</v>
      </c>
      <c r="D41" s="19" t="s">
        <v>152</v>
      </c>
      <c r="E41" s="20" t="s">
        <v>153</v>
      </c>
      <c r="F41" s="20" t="s">
        <v>154</v>
      </c>
      <c r="G41" s="19" t="s">
        <v>11</v>
      </c>
      <c r="H41" s="20" t="str">
        <f aca="false">IF(G41="Cả nhóm","Cả nhóm",IFERROR(INDEX('Tổng quan'!$C$5:$C$7,MATCH(G41,'Tổng quan'!$B$5:$B$7,0)),""))</f>
        <v>Người 1</v>
      </c>
      <c r="I41" s="20"/>
      <c r="J41" s="20"/>
      <c r="K41" s="21" t="n">
        <f aca="false">'Tổng quan'!$E$11+(B41-1)*7</f>
        <v>46370</v>
      </c>
      <c r="L41" s="21" t="n">
        <f aca="false">'Tổng quan'!$E$11+(C41-1)*7+4</f>
        <v>46374</v>
      </c>
      <c r="M41" s="22" t="s">
        <v>62</v>
      </c>
      <c r="N41" s="23" t="n">
        <v>0</v>
      </c>
      <c r="O41" s="24"/>
    </row>
    <row r="42" customFormat="false" ht="15" hidden="false" customHeight="false" outlineLevel="0" collapsed="false">
      <c r="A42" s="19" t="n">
        <v>38</v>
      </c>
      <c r="B42" s="19" t="n">
        <v>10</v>
      </c>
      <c r="C42" s="19" t="n">
        <v>10</v>
      </c>
      <c r="D42" s="19" t="s">
        <v>152</v>
      </c>
      <c r="E42" s="20" t="s">
        <v>153</v>
      </c>
      <c r="F42" s="20" t="s">
        <v>155</v>
      </c>
      <c r="G42" s="19" t="s">
        <v>14</v>
      </c>
      <c r="H42" s="20" t="str">
        <f aca="false">IF(G42="Cả nhóm","Cả nhóm",IFERROR(INDEX('Tổng quan'!$C$5:$C$7,MATCH(G42,'Tổng quan'!$B$5:$B$7,0)),""))</f>
        <v>Người 2</v>
      </c>
      <c r="I42" s="20"/>
      <c r="J42" s="20"/>
      <c r="K42" s="21" t="n">
        <f aca="false">'Tổng quan'!$E$11+(B42-1)*7</f>
        <v>46370</v>
      </c>
      <c r="L42" s="21" t="n">
        <f aca="false">'Tổng quan'!$E$11+(C42-1)*7+4</f>
        <v>46374</v>
      </c>
      <c r="M42" s="22" t="s">
        <v>62</v>
      </c>
      <c r="N42" s="23" t="n">
        <v>0</v>
      </c>
      <c r="O42" s="24"/>
    </row>
    <row r="43" customFormat="false" ht="15" hidden="false" customHeight="false" outlineLevel="0" collapsed="false">
      <c r="A43" s="19" t="n">
        <v>39</v>
      </c>
      <c r="B43" s="19" t="n">
        <v>10</v>
      </c>
      <c r="C43" s="19" t="n">
        <v>10</v>
      </c>
      <c r="D43" s="19" t="s">
        <v>152</v>
      </c>
      <c r="E43" s="20" t="s">
        <v>153</v>
      </c>
      <c r="F43" s="20" t="s">
        <v>156</v>
      </c>
      <c r="G43" s="19" t="s">
        <v>17</v>
      </c>
      <c r="H43" s="20" t="str">
        <f aca="false">IF(G43="Cả nhóm","Cả nhóm",IFERROR(INDEX('Tổng quan'!$C$5:$C$7,MATCH(G43,'Tổng quan'!$B$5:$B$7,0)),""))</f>
        <v>Người 3</v>
      </c>
      <c r="I43" s="20"/>
      <c r="J43" s="20"/>
      <c r="K43" s="21" t="n">
        <f aca="false">'Tổng quan'!$E$11+(B43-1)*7</f>
        <v>46370</v>
      </c>
      <c r="L43" s="21" t="n">
        <f aca="false">'Tổng quan'!$E$11+(C43-1)*7+4</f>
        <v>46374</v>
      </c>
      <c r="M43" s="22" t="s">
        <v>62</v>
      </c>
      <c r="N43" s="23" t="n">
        <v>0</v>
      </c>
      <c r="O43" s="24"/>
    </row>
    <row r="44" customFormat="false" ht="15" hidden="false" customHeight="false" outlineLevel="0" collapsed="false">
      <c r="A44" s="19" t="n">
        <v>40</v>
      </c>
      <c r="B44" s="19" t="n">
        <v>10</v>
      </c>
      <c r="C44" s="19" t="n">
        <v>10</v>
      </c>
      <c r="D44" s="19" t="s">
        <v>152</v>
      </c>
      <c r="E44" s="20" t="s">
        <v>153</v>
      </c>
      <c r="F44" s="20" t="s">
        <v>157</v>
      </c>
      <c r="G44" s="19" t="s">
        <v>20</v>
      </c>
      <c r="H44" s="20" t="str">
        <f aca="false">IF(G44="Cả nhóm","Cả nhóm",IFERROR(INDEX('Tổng quan'!$C$5:$C$7,MATCH(G44,'Tổng quan'!$B$5:$B$7,0)),""))</f>
        <v>Cả nhóm</v>
      </c>
      <c r="I44" s="20"/>
      <c r="J44" s="20" t="s">
        <v>158</v>
      </c>
      <c r="K44" s="21" t="n">
        <f aca="false">'Tổng quan'!$E$11+(B44-1)*7</f>
        <v>46370</v>
      </c>
      <c r="L44" s="21" t="n">
        <f aca="false">'Tổng quan'!$E$11+(C44-1)*7+4</f>
        <v>46374</v>
      </c>
      <c r="M44" s="22" t="s">
        <v>62</v>
      </c>
      <c r="N44" s="23" t="n">
        <v>0</v>
      </c>
      <c r="O44" s="24"/>
    </row>
  </sheetData>
  <autoFilter ref="A4:O44"/>
  <conditionalFormatting sqref="A5:O44">
    <cfRule type="expression" priority="2" aboveAverage="0" equalAverage="0" bottom="0" percent="0" rank="0" text="" dxfId="4">
      <formula>$M5="Hoàn thành"</formula>
    </cfRule>
    <cfRule type="expression" priority="3" aboveAverage="0" equalAverage="0" bottom="0" percent="0" rank="0" text="" dxfId="5">
      <formula>$M5="Bị chặn"</formula>
    </cfRule>
    <cfRule type="expression" priority="4" aboveAverage="0" equalAverage="0" bottom="0" percent="0" rank="0" text="" dxfId="6">
      <formula>AND($M5&lt;&gt;"Hoàn thành",$L5&lt;TODAY())</formula>
    </cfRule>
    <cfRule type="expression" priority="5" aboveAverage="0" equalAverage="0" bottom="0" percent="0" rank="0" text="" dxfId="7">
      <formula>$M5="Đang làm"</formula>
    </cfRule>
  </conditionalFormatting>
  <dataValidations count="3">
    <dataValidation allowBlank="true" errorStyle="stop" operator="between" showDropDown="false" showErrorMessage="false" showInputMessage="false" sqref="M5:M200" type="list">
      <formula1>"Chưa bắt đầu,Đang làm,Hoàn thành,Bị chặn"</formula1>
      <formula2>0</formula2>
    </dataValidation>
    <dataValidation allowBlank="true" errorStyle="stop" operator="between" showDropDown="false" showErrorMessage="false" showInputMessage="false" sqref="G5:G200" type="list">
      <formula1>"N1,N2,N3,Cả nhóm"</formula1>
      <formula2>0</formula2>
    </dataValidation>
    <dataValidation allowBlank="true" error="Nhập từ 0% đến 100%" errorStyle="stop" operator="between" showDropDown="false" showErrorMessage="false" showInputMessage="false" sqref="N5:N200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42"/>
  </cols>
  <sheetData>
    <row r="1" customFormat="false" ht="17.35" hidden="false" customHeight="false" outlineLevel="0" collapsed="false">
      <c r="A1" s="1" t="s">
        <v>159</v>
      </c>
    </row>
    <row r="3" customFormat="false" ht="15" hidden="false" customHeight="false" outlineLevel="0" collapsed="false">
      <c r="A3" s="3" t="s">
        <v>50</v>
      </c>
      <c r="B3" s="3" t="s">
        <v>160</v>
      </c>
      <c r="C3" s="3" t="s">
        <v>161</v>
      </c>
      <c r="D3" s="3" t="s">
        <v>162</v>
      </c>
    </row>
    <row r="4" customFormat="false" ht="26.85" hidden="false" customHeight="false" outlineLevel="0" collapsed="false">
      <c r="A4" s="25" t="s">
        <v>59</v>
      </c>
      <c r="B4" s="20" t="s">
        <v>163</v>
      </c>
      <c r="C4" s="20" t="s">
        <v>164</v>
      </c>
      <c r="D4" s="20" t="s">
        <v>165</v>
      </c>
    </row>
    <row r="5" customFormat="false" ht="26.85" hidden="false" customHeight="false" outlineLevel="0" collapsed="false">
      <c r="A5" s="25" t="s">
        <v>69</v>
      </c>
      <c r="B5" s="20" t="s">
        <v>166</v>
      </c>
      <c r="C5" s="20" t="s">
        <v>167</v>
      </c>
      <c r="D5" s="20" t="s">
        <v>168</v>
      </c>
    </row>
    <row r="6" customFormat="false" ht="26.85" hidden="false" customHeight="false" outlineLevel="0" collapsed="false">
      <c r="A6" s="25" t="s">
        <v>169</v>
      </c>
      <c r="B6" s="20" t="s">
        <v>170</v>
      </c>
      <c r="C6" s="20" t="s">
        <v>171</v>
      </c>
      <c r="D6" s="20" t="s">
        <v>172</v>
      </c>
    </row>
    <row r="7" customFormat="false" ht="26.85" hidden="false" customHeight="false" outlineLevel="0" collapsed="false">
      <c r="A7" s="25" t="s">
        <v>173</v>
      </c>
      <c r="B7" s="20" t="s">
        <v>174</v>
      </c>
      <c r="C7" s="20" t="s">
        <v>175</v>
      </c>
      <c r="D7" s="20" t="s">
        <v>176</v>
      </c>
    </row>
    <row r="8" customFormat="false" ht="26.85" hidden="false" customHeight="false" outlineLevel="0" collapsed="false">
      <c r="A8" s="25" t="s">
        <v>177</v>
      </c>
      <c r="B8" s="20" t="s">
        <v>178</v>
      </c>
      <c r="C8" s="20" t="s">
        <v>179</v>
      </c>
      <c r="D8" s="20" t="s">
        <v>180</v>
      </c>
    </row>
    <row r="9" customFormat="false" ht="15" hidden="false" customHeight="false" outlineLevel="0" collapsed="false">
      <c r="A9" s="25" t="s">
        <v>153</v>
      </c>
      <c r="B9" s="20" t="s">
        <v>181</v>
      </c>
      <c r="C9" s="20" t="s">
        <v>182</v>
      </c>
      <c r="D9" s="20" t="s">
        <v>183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5"/>
    <col collapsed="false" customWidth="true" hidden="false" outlineLevel="0" max="3" min="3" style="0" width="50"/>
    <col collapsed="false" customWidth="true" hidden="false" outlineLevel="0" max="4" min="4" style="0" width="12"/>
    <col collapsed="false" customWidth="true" hidden="false" outlineLevel="0" max="5" min="5" style="0" width="15"/>
    <col collapsed="false" customWidth="true" hidden="false" outlineLevel="0" max="6" min="6" style="0" width="25"/>
  </cols>
  <sheetData>
    <row r="1" customFormat="false" ht="17.35" hidden="false" customHeight="false" outlineLevel="0" collapsed="false">
      <c r="A1" s="1" t="s">
        <v>184</v>
      </c>
    </row>
    <row r="3" customFormat="false" ht="26.85" hidden="false" customHeight="false" outlineLevel="0" collapsed="false">
      <c r="A3" s="3" t="s">
        <v>185</v>
      </c>
      <c r="B3" s="3" t="s">
        <v>186</v>
      </c>
      <c r="C3" s="3" t="s">
        <v>187</v>
      </c>
      <c r="D3" s="3" t="s">
        <v>39</v>
      </c>
      <c r="E3" s="3" t="s">
        <v>37</v>
      </c>
      <c r="F3" s="3" t="s">
        <v>57</v>
      </c>
    </row>
    <row r="4" customFormat="false" ht="26.85" hidden="false" customHeight="false" outlineLevel="0" collapsed="false">
      <c r="A4" s="26" t="s">
        <v>188</v>
      </c>
      <c r="B4" s="20" t="s">
        <v>189</v>
      </c>
      <c r="C4" s="20" t="s">
        <v>190</v>
      </c>
      <c r="D4" s="19" t="s">
        <v>17</v>
      </c>
      <c r="E4" s="22" t="s">
        <v>191</v>
      </c>
      <c r="F4" s="24" t="inlineStr">
        <is>
          <t>23/10: chuyển sang ERA5 time-series theo điểm: 8 điểm × 2016–2025 xong trong 320 giây. Tải theo vùng (mỗi tháng chờ ~2 giờ) chỉ tiếp tục cho 2024–2025 (ID 5, 14)</t>
        </is>
      </c>
    </row>
    <row r="5" customFormat="false" ht="26.85" hidden="false" customHeight="false" outlineLevel="0" collapsed="false">
      <c r="A5" s="26" t="s">
        <v>192</v>
      </c>
      <c r="B5" s="20" t="s">
        <v>193</v>
      </c>
      <c r="C5" s="20" t="s">
        <v>194</v>
      </c>
      <c r="D5" s="19" t="s">
        <v>17</v>
      </c>
      <c r="E5" s="22" t="s">
        <v>191</v>
      </c>
      <c r="F5" s="24" t="inlineStr">
        <is>
          <t>23/10: đã đổi đơn vị ở Silver (scripts/transform_era5_to_silver.py), tính gió từ u/v, lấy ô lưới gần nhất. Sản phẩm là ERA5 (không phải ERA5-Land): mưa theo giờ đã là tổng từng giờ, không cần khử cộng dồn</t>
        </is>
      </c>
    </row>
    <row r="6" customFormat="false" ht="26.85" hidden="false" customHeight="false" outlineLevel="0" collapsed="false">
      <c r="A6" s="26" t="s">
        <v>195</v>
      </c>
      <c r="B6" s="20" t="s">
        <v>196</v>
      </c>
      <c r="C6" s="20" t="s">
        <v>197</v>
      </c>
      <c r="D6" s="19" t="s">
        <v>11</v>
      </c>
      <c r="E6" s="22" t="s">
        <v>191</v>
      </c>
      <c r="F6" s="24" t="inlineStr">
        <is>
          <t>23/10: so sánh ERA5 – Open-Meteo 2016–2025 (scripts/compare_era5_open_meteo.py): hai nguồn không trùng hẳn; nhiệt độ lệch −1,6…+0,9 °C, tương quan 0,96–0,98; mưa năm LCA 2.064 mm (ERA5) so với 2.950 mm (Open-Meteo). Không coi là xác nhận độc lập</t>
        </is>
      </c>
    </row>
    <row r="7" customFormat="false" ht="26.85" hidden="false" customHeight="false" outlineLevel="0" collapsed="false">
      <c r="A7" s="26" t="s">
        <v>198</v>
      </c>
      <c r="B7" s="20" t="s">
        <v>199</v>
      </c>
      <c r="C7" s="20" t="s">
        <v>200</v>
      </c>
      <c r="D7" s="19" t="s">
        <v>14</v>
      </c>
      <c r="E7" s="22" t="s">
        <v>191</v>
      </c>
      <c r="F7" s="24" t="inlineStr">
        <is>
          <t>22/10: gán trạm bằng khoảng cách haversine (scripts/station_config.py). HAN: Meteostat là sân bay Nội Bài (22 km); mưa ngày lấy Hà Đông (11,3 km). PTO, TUQ, HBI không có trạm</t>
        </is>
      </c>
    </row>
    <row r="8" customFormat="false" ht="26.85" hidden="false" customHeight="false" outlineLevel="0" collapsed="false">
      <c r="A8" s="26" t="s">
        <v>201</v>
      </c>
      <c r="B8" s="20" t="s">
        <v>202</v>
      </c>
      <c r="C8" s="20" t="s">
        <v>203</v>
      </c>
      <c r="D8" s="19" t="s">
        <v>11</v>
      </c>
      <c r="E8" s="22" t="s">
        <v>191</v>
      </c>
      <c r="F8" s="24"/>
    </row>
    <row r="9" customFormat="false" ht="39.55" hidden="false" customHeight="false" outlineLevel="0" collapsed="false">
      <c r="A9" s="26" t="s">
        <v>204</v>
      </c>
      <c r="B9" s="20" t="s">
        <v>205</v>
      </c>
      <c r="C9" s="20" t="inlineStr">
        <is>
          <t>Địa điểm = điểm tọa độ; DimLocation chỉ lưu tỉnh trước sáp nhập; GeoJSON dùng ranh giới trước sáp nhập (63 tỉnh). Đổi ngày 21/10/2026; cách xử lý gốc: "DimLocation lưu cả tỉnh cũ và mới; GeoJSON dùng ranh giới mới"</t>
        </is>
      </c>
      <c r="D9" s="19" t="s">
        <v>14</v>
      </c>
      <c r="E9" s="22" t="s">
        <v>191</v>
      </c>
      <c r="F9" s="24" t="inlineStr">
        <is>
          <t>21/10: đã chốt (N2) dùng ranh giới trước sáp nhập (63 tỉnh); DimLocation chỉ lưu tỉnh cũ, không lưu tỉnh mới</t>
        </is>
      </c>
    </row>
    <row r="10" customFormat="false" ht="26.85" hidden="false" customHeight="false" outlineLevel="0" collapsed="false">
      <c r="A10" s="26" t="s">
        <v>207</v>
      </c>
      <c r="B10" s="20" t="s">
        <v>208</v>
      </c>
      <c r="C10" s="20" t="s">
        <v>209</v>
      </c>
      <c r="D10" s="19" t="s">
        <v>20</v>
      </c>
      <c r="E10" s="22" t="s">
        <v>191</v>
      </c>
      <c r="F10" s="24" t="inlineStr">
        <is>
          <t>21/10: đã chốt 1 mm trong (t, t+24h], nguồn Open-Meteo cho thí nghiệm đầu; ưu tiên trạm/ERA5 để sau (docs/rain-label.md). N3 chưa duyệt</t>
        </is>
      </c>
    </row>
    <row r="11" customFormat="false" ht="26.85" hidden="false" customHeight="false" outlineLevel="0" collapsed="false">
      <c r="A11" s="26" t="s">
        <v>210</v>
      </c>
      <c r="B11" s="20" t="s">
        <v>211</v>
      </c>
      <c r="C11" s="20" t="s">
        <v>212</v>
      </c>
      <c r="D11" s="19" t="s">
        <v>17</v>
      </c>
      <c r="E11" s="22" t="s">
        <v>191</v>
      </c>
      <c r="F11" s="24"/>
    </row>
    <row r="12" customFormat="false" ht="26.85" hidden="false" customHeight="false" outlineLevel="0" collapsed="false">
      <c r="A12" s="26" t="s">
        <v>213</v>
      </c>
      <c r="B12" s="20" t="s">
        <v>214</v>
      </c>
      <c r="C12" s="20" t="s">
        <v>215</v>
      </c>
      <c r="D12" s="19" t="s">
        <v>17</v>
      </c>
      <c r="E12" s="22" t="s">
        <v>191</v>
      </c>
      <c r="F12" s="24" t="inlineStr">
        <is>
          <t>22/10: ngưỡng 0,40 chọn trên 2024 theo F1 (Recall 0,82) là kết quả test chính thức. Thêm điểm vận hành ưu tiên Recall: Recall validation ≥ 0,85 và Precision cao nhất → 0,36 (Recall 0,88). Do N1/N2 chốt thay N3, chờ N3 duyệt</t>
        </is>
      </c>
    </row>
    <row r="13" customFormat="false" ht="26.85" hidden="false" customHeight="false" outlineLevel="0" collapsed="false">
      <c r="A13" s="26" t="s">
        <v>59</v>
      </c>
      <c r="B13" s="20" t="s">
        <v>216</v>
      </c>
      <c r="C13" s="20" t="s">
        <v>217</v>
      </c>
      <c r="D13" s="19" t="s">
        <v>11</v>
      </c>
      <c r="E13" s="22" t="s">
        <v>191</v>
      </c>
      <c r="F13" s="24"/>
    </row>
  </sheetData>
  <dataValidations count="2">
    <dataValidation allowBlank="true" errorStyle="stop" operator="between" showDropDown="false" showErrorMessage="false" showInputMessage="false" sqref="E4:E50" type="list">
      <formula1>"Đang theo dõi,Đã xử lý,Đã xảy ra"</formula1>
      <formula2>0</formula2>
    </dataValidation>
    <dataValidation allowBlank="true" errorStyle="stop" operator="between" showDropDown="false" showErrorMessage="false" showInputMessage="false" sqref="D4:D50" type="list">
      <formula1>"N1,N2,N3,Cả nhóm"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2026-10-06T07:20:39Z</dcterms:created>
  <dc:creator>openpyxl</dc:creator>
  <dc:description/>
  <dc:language>en-US</dc:language>
  <cp:lastModifiedBy/>
  <dcterms:modified xsi:type="dcterms:W3CDTF">2026-10-06T07:20:39Z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