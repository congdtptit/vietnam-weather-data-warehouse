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ổng quan" sheetId="1" state="visible" r:id="rId3"/>
    <sheet name="Theo dõi công việc" sheetId="2" state="visible" r:id="rId4"/>
    <sheet name="Vai trò" sheetId="3" state="visible" r:id="rId5"/>
    <sheet name="Rủi ro" sheetId="4" state="visible" r:id="rId6"/>
  </sheets>
  <definedNames>
    <definedName function="false" hidden="true" localSheetId="1" name="_xlnm._FilterDatabase" vbProcedure="false">'Theo dõi công việc'!$A$4:$O$44</definedName>
  </definedNames>
  <calcPr iterateCount="100" refMode="A1" iterate="false" iterateDelta="0.0001" fullCalcOnLoad="1"/>
  <extLst>
    <ext xmlns:loext="http://schemas.libreoffice.org/" uri="{7626C862-2A13-11E5-B345-FEFF819CDC9F}">
      <loext:extCalcPr stringRefSyntax="ExcelA1"/>
    </ext>
  </extLst>
</workbook>
</file>

<file path=xl/sharedStrings.xml><?xml version="1.0" encoding="utf-8"?>
<sst xmlns="http://schemas.openxmlformats.org/spreadsheetml/2006/main" count="392" uniqueCount="218">
  <si>
    <t xml:space="preserve">Đề tài: Kho dữ liệu khí tượng đa nguồn – dự báo khả năng mưa miền Bắc</t>
  </si>
  <si>
    <t xml:space="preserve">Bảng tổng hợp tiến độ nhóm 3 người (tự cập nhật từ sheet "Theo dõi công việc")</t>
  </si>
  <si>
    <t xml:space="preserve">Mã</t>
  </si>
  <si>
    <t xml:space="preserve">Họ tên (điền)</t>
  </si>
  <si>
    <t xml:space="preserve">Vai trò</t>
  </si>
  <si>
    <t xml:space="preserve">Số việc</t>
  </si>
  <si>
    <t xml:space="preserve">Hoàn thành</t>
  </si>
  <si>
    <t xml:space="preserve">Đang làm</t>
  </si>
  <si>
    <t xml:space="preserve">Bị chặn</t>
  </si>
  <si>
    <t xml:space="preserve">Quá hạn</t>
  </si>
  <si>
    <t xml:space="preserve">% tiến độ</t>
  </si>
  <si>
    <t xml:space="preserve">N1</t>
  </si>
  <si>
    <t xml:space="preserve">Người 1</t>
  </si>
  <si>
    <t xml:space="preserve">Data Engineer</t>
  </si>
  <si>
    <t xml:space="preserve">N2</t>
  </si>
  <si>
    <t xml:space="preserve">Người 2</t>
  </si>
  <si>
    <t xml:space="preserve">DW &amp; BI</t>
  </si>
  <si>
    <t xml:space="preserve">N3</t>
  </si>
  <si>
    <t xml:space="preserve">Người 3</t>
  </si>
  <si>
    <t xml:space="preserve">Data Mining</t>
  </si>
  <si>
    <t xml:space="preserve">Cả nhóm</t>
  </si>
  <si>
    <t xml:space="preserve">Việc chung</t>
  </si>
  <si>
    <t xml:space="preserve">Tổng</t>
  </si>
  <si>
    <t xml:space="preserve">Ngày bắt đầu tuần 1 (thứ Hai):</t>
  </si>
  <si>
    <t xml:space="preserve">Giả định: thứ Hai tuần sau. Sửa ô này theo lịch học thực tế, mọi ngày bắt đầu/hạn chót sẽ tự đổi.</t>
  </si>
  <si>
    <t xml:space="preserve">Tiến độ theo tuần</t>
  </si>
  <si>
    <t xml:space="preserve">Tuần</t>
  </si>
  <si>
    <t xml:space="preserve">Từ ngày</t>
  </si>
  <si>
    <t xml:space="preserve">Đến ngày</t>
  </si>
  <si>
    <t xml:space="preserve">Việc hết hạn trong tuần</t>
  </si>
  <si>
    <t xml:space="preserve">Đã hoàn thành</t>
  </si>
  <si>
    <t xml:space="preserve">% hoàn thành</t>
  </si>
  <si>
    <t xml:space="preserve">Hướng dẫn</t>
  </si>
  <si>
    <t xml:space="preserve">Ô nền vàng</t>
  </si>
  <si>
    <t xml:space="preserve">là ô cần điền/cập nhật: họ tên thành viên, ngày bắt đầu tuần 1, trạng thái, % hoàn thành, ghi chú.</t>
  </si>
  <si>
    <t xml:space="preserve">Ô nền trắng</t>
  </si>
  <si>
    <t xml:space="preserve">là công thức tự tính, không cần sửa.</t>
  </si>
  <si>
    <t xml:space="preserve">Trạng thái</t>
  </si>
  <si>
    <t xml:space="preserve">chọn từ danh sách: Chưa bắt đầu / Đang làm / Hoàn thành / Bị chặn. Khi chọn Hoàn thành, đặt % = 100%.</t>
  </si>
  <si>
    <t xml:space="preserve">Mã phụ trách</t>
  </si>
  <si>
    <t xml:space="preserve">N1, N2, N3 hoặc Cả nhóm; tên người tự hiện theo bảng thành viên ở trên.</t>
  </si>
  <si>
    <t xml:space="preserve">là việc có hạn chót trước hôm nay mà chưa Hoàn thành (dòng tô đỏ nhạt).</t>
  </si>
  <si>
    <t xml:space="preserve">Thêm việc</t>
  </si>
  <si>
    <t xml:space="preserve">điền tiếp ở cuối sheet Theo dõi công việc (tối đa dòng 200), copy công thức cột H, K, L từ dòng trên.</t>
  </si>
  <si>
    <t xml:space="preserve">Theo dõi công việc</t>
  </si>
  <si>
    <t xml:space="preserve">Ô nền vàng: cập nhật trạng thái, % hoàn thành và ghi chú. Ngày tự tính từ 'Tổng quan'!E11.</t>
  </si>
  <si>
    <t xml:space="preserve">ID</t>
  </si>
  <si>
    <t xml:space="preserve">Tuần bắt đầu</t>
  </si>
  <si>
    <t xml:space="preserve">Tuần kết thúc</t>
  </si>
  <si>
    <t xml:space="preserve">Giai đoạn</t>
  </si>
  <si>
    <t xml:space="preserve">Hạng mục</t>
  </si>
  <si>
    <t xml:space="preserve">Công việc</t>
  </si>
  <si>
    <t xml:space="preserve">Người phụ trách</t>
  </si>
  <si>
    <t xml:space="preserve">Hỗ trợ</t>
  </si>
  <si>
    <t xml:space="preserve">Đầu ra</t>
  </si>
  <si>
    <t xml:space="preserve">Ngày bắt đầu</t>
  </si>
  <si>
    <t xml:space="preserve">Hạn chót</t>
  </si>
  <si>
    <t xml:space="preserve">Ghi chú</t>
  </si>
  <si>
    <t xml:space="preserve">Tuần 1</t>
  </si>
  <si>
    <t xml:space="preserve">Hạ tầng</t>
  </si>
  <si>
    <t xml:space="preserve">Dựng Docker Compose (MinIO, Airflow, PostgreSQL), tạo repo Git</t>
  </si>
  <si>
    <t xml:space="preserve">docker-compose.yml chạy được trên máy cả nhóm</t>
  </si>
  <si>
    <t xml:space="preserve">Chưa bắt đầu</t>
  </si>
  <si>
    <t xml:space="preserve">Data Lake</t>
  </si>
  <si>
    <t xml:space="preserve">Tạo bucket bronze / silver / gold trên MinIO, quy ước đặt tên file</t>
  </si>
  <si>
    <t xml:space="preserve">3 bucket + quy ước thư mục</t>
  </si>
  <si>
    <t xml:space="preserve">Data Warehouse</t>
  </si>
  <si>
    <t xml:space="preserve">Phác thảo Star Schema: Fact, Dim, grain</t>
  </si>
  <si>
    <t xml:space="preserve">Sơ đồ Star Schema bản nháp</t>
  </si>
  <si>
    <t xml:space="preserve">Nguồn dữ liệu</t>
  </si>
  <si>
    <t xml:space="preserve">Tải GeoJSON địa giới Việt Nam (ranh giới sau sáp nhập 1/7/2025)</t>
  </si>
  <si>
    <t xml:space="preserve">File GeoJSON trong Bronze</t>
  </si>
  <si>
    <t xml:space="preserve">Đăng ký Copernicus CDS, gửi yêu cầu tải ERA5 (vùng miền Bắc, chỉ các biến cần dùng)</t>
  </si>
  <si>
    <t xml:space="preserve">Yêu cầu tải đã vào hàng đợi</t>
  </si>
  <si>
    <t xml:space="preserve">Thống nhất</t>
  </si>
  <si>
    <t xml:space="preserve">Chốt schema chuẩn tầng Silver: tên cột, đơn vị, timestamp UTC</t>
  </si>
  <si>
    <t xml:space="preserve">File hợp đồng dữ liệu trong repo</t>
  </si>
  <si>
    <t xml:space="preserve">Chốt định nghĩa nhãn RainNext24h: nguồn ưu tiên, ngưỡng mm</t>
  </si>
  <si>
    <t xml:space="preserve">Định nghĩa nhãn ghi trong repo</t>
  </si>
  <si>
    <t xml:space="preserve">Tuần 2–3</t>
  </si>
  <si>
    <t xml:space="preserve">Thu thập Open-Meteo (REST API, JSON) → Bronze</t>
  </si>
  <si>
    <t xml:space="preserve">Dữ liệu 10 năm × 8 địa điểm</t>
  </si>
  <si>
    <t xml:space="preserve">Thu thập Meteostat / NOAA (CSV/Text) → Bronze</t>
  </si>
  <si>
    <t xml:space="preserve">Dữ liệu trạm thô</t>
  </si>
  <si>
    <t xml:space="preserve">ETL – Silver</t>
  </si>
  <si>
    <t xml:space="preserve">Làm sạch Open-Meteo và Meteostat → Silver: đơn vị, UTC, trùng lặp, giá trị thiếu</t>
  </si>
  <si>
    <t xml:space="preserve">Bảng Silver theo schema chuẩn</t>
  </si>
  <si>
    <t xml:space="preserve">DimLocation (tỉnh cũ + tỉnh mới), DimStation, gán trạm theo khoảng cách bằng GeoPandas</t>
  </si>
  <si>
    <t xml:space="preserve">Bảng DimLocation, DimStation</t>
  </si>
  <si>
    <t xml:space="preserve">DimDate, DimTime, DimSource</t>
  </si>
  <si>
    <t xml:space="preserve">Các bảng Dim thời gian và nguồn</t>
  </si>
  <si>
    <t xml:space="preserve">Viết DDL PostgreSQL cho toàn bộ Star Schema</t>
  </si>
  <si>
    <t xml:space="preserve">Script DDL</t>
  </si>
  <si>
    <t xml:space="preserve">Đọc ERA5 NetCDF bằng xarray → Bronze</t>
  </si>
  <si>
    <t xml:space="preserve">File NetCDF trong Bronze</t>
  </si>
  <si>
    <t xml:space="preserve">ERA5 → Silver: đổi đơn vị (K, m, Pa), tính gió từ u/v, khử cộng dồn mưa, lấy ô lưới gần nhất</t>
  </si>
  <si>
    <t xml:space="preserve">Bảng Silver ERA5 theo schema chuẩn</t>
  </si>
  <si>
    <t xml:space="preserve">Tuần 4–5</t>
  </si>
  <si>
    <t xml:space="preserve">ETL – Gold</t>
  </si>
  <si>
    <t xml:space="preserve">Gộp Silver → Gold, pivot các nguồn cho ML</t>
  </si>
  <si>
    <t xml:space="preserve">Bảng Gold thống nhất</t>
  </si>
  <si>
    <t xml:space="preserve">Orchestration</t>
  </si>
  <si>
    <t xml:space="preserve">DAG Airflow chạy trọn luồng Bronze → Silver → Gold → DW</t>
  </si>
  <si>
    <t xml:space="preserve">DAG chạy thành công</t>
  </si>
  <si>
    <t xml:space="preserve">Nạp FactWeatherObservation với khóa thay thế</t>
  </si>
  <si>
    <t xml:space="preserve">Kho dữ liệu đủ 10 năm</t>
  </si>
  <si>
    <t xml:space="preserve">OLAP</t>
  </si>
  <si>
    <t xml:space="preserve">Viết view OLAP: roll-up ngày/tháng/năm, theo tỉnh, theo nguồn</t>
  </si>
  <si>
    <t xml:space="preserve">Các view SQL</t>
  </si>
  <si>
    <t xml:space="preserve">BI</t>
  </si>
  <si>
    <t xml:space="preserve">Dashboard Power BI bản 1</t>
  </si>
  <si>
    <t xml:space="preserve">File .pbix bản 1</t>
  </si>
  <si>
    <t xml:space="preserve">Khai phá dữ liệu</t>
  </si>
  <si>
    <t xml:space="preserve">EDA: phân bố mưa theo mùa, tương quan các biến</t>
  </si>
  <si>
    <t xml:space="preserve">Notebook EDA</t>
  </si>
  <si>
    <t xml:space="preserve">Tạo nhãn RainNext24h</t>
  </si>
  <si>
    <t xml:space="preserve">Cột nhãn trong tập huấn luyện</t>
  </si>
  <si>
    <t xml:space="preserve">Xây đặc trưng: độ trễ, trung bình trượt, biến thiên áp suất 3h/24h, giờ/tháng</t>
  </si>
  <si>
    <t xml:space="preserve">Bộ đặc trưng, không rò rỉ dữ liệu</t>
  </si>
  <si>
    <t xml:space="preserve">Tuần 6–7</t>
  </si>
  <si>
    <t xml:space="preserve">Chất lượng dữ liệu</t>
  </si>
  <si>
    <t xml:space="preserve">Bước kiểm tra trong Airflow: đếm dòng, % thiếu, khoảng giá trị hợp lệ</t>
  </si>
  <si>
    <t xml:space="preserve">Task kiểm tra trong DAG</t>
  </si>
  <si>
    <t xml:space="preserve">DAG cập nhật tăng dần (incremental)</t>
  </si>
  <si>
    <t xml:space="preserve">DAG chạy theo lịch</t>
  </si>
  <si>
    <t xml:space="preserve">Index và tối ưu truy vấn DW</t>
  </si>
  <si>
    <t xml:space="preserve">Thời gian truy vấn dashboard chấp nhận được</t>
  </si>
  <si>
    <t xml:space="preserve">Dashboard đầy đủ: bản đồ, so sánh khu vực và nguồn, Roll-up / Drill-down / Slice / Dice</t>
  </si>
  <si>
    <t xml:space="preserve">Dashboard hoàn chỉnh</t>
  </si>
  <si>
    <t xml:space="preserve">Huấn luyện CART, tinh chỉnh max_depth, ccp_alpha, class_weight trên tập 2024</t>
  </si>
  <si>
    <t xml:space="preserve">Mô hình tốt nhất trên validation</t>
  </si>
  <si>
    <t xml:space="preserve">Đánh giá mô hình</t>
  </si>
  <si>
    <t xml:space="preserve">Kiểm tra trên tập 2025: confusion matrix, Accuracy, Precision, Recall, F1; chỉnh ngưỡng xác suất</t>
  </si>
  <si>
    <t xml:space="preserve">Bảng chỉ số đánh giá</t>
  </si>
  <si>
    <t xml:space="preserve">Vẽ và diễn giải cây quyết định, trích luật phân loại</t>
  </si>
  <si>
    <t xml:space="preserve">Hình cây + luật</t>
  </si>
  <si>
    <t xml:space="preserve">Tuần 8</t>
  </si>
  <si>
    <t xml:space="preserve">Tích hợp ML</t>
  </si>
  <si>
    <t xml:space="preserve">Thiết kế FactWeatherPrediction, DimModel; ghi kết quả dự báo vào DW</t>
  </si>
  <si>
    <t xml:space="preserve">Bảng dự báo có dữ liệu</t>
  </si>
  <si>
    <t xml:space="preserve">DAG chấm điểm dự báo</t>
  </si>
  <si>
    <t xml:space="preserve">DAG dự báo chạy được</t>
  </si>
  <si>
    <t xml:space="preserve">Trang dashboard dự báo so với thực tế</t>
  </si>
  <si>
    <t xml:space="preserve">Trang dự báo trong Power BI</t>
  </si>
  <si>
    <t xml:space="preserve">Tuần 9</t>
  </si>
  <si>
    <t xml:space="preserve">Kiểm thử</t>
  </si>
  <si>
    <t xml:space="preserve">Chạy lại toàn bộ pipeline trên máy sạch, sửa lỗi</t>
  </si>
  <si>
    <t xml:space="preserve">Pipeline chạy từ đầu đến cuối</t>
  </si>
  <si>
    <t xml:space="preserve">Đối chiếu số liệu dashboard với truy vấn SQL</t>
  </si>
  <si>
    <t xml:space="preserve">Biên bản đối chiếu</t>
  </si>
  <si>
    <t xml:space="preserve">Phân tích lỗi mô hình, so sánh các ngưỡng</t>
  </si>
  <si>
    <t xml:space="preserve">Phần phân tích lỗi</t>
  </si>
  <si>
    <t xml:space="preserve">Tuần 10</t>
  </si>
  <si>
    <t xml:space="preserve">Báo cáo</t>
  </si>
  <si>
    <t xml:space="preserve">Chương: nguồn dữ liệu, Data Lake, ETL</t>
  </si>
  <si>
    <t xml:space="preserve">Chương: Data Warehouse, OLAP, dashboard</t>
  </si>
  <si>
    <t xml:space="preserve">Chương: khai phá dữ liệu, đánh giá mô hình</t>
  </si>
  <si>
    <t xml:space="preserve">Mở đầu, kết luận, slide, tập demo</t>
  </si>
  <si>
    <t xml:space="preserve">Báo cáo + slide hoàn chỉnh</t>
  </si>
  <si>
    <t xml:space="preserve">Phân công vai trò</t>
  </si>
  <si>
    <t xml:space="preserve">Người 1 – Data Engineer</t>
  </si>
  <si>
    <t xml:space="preserve">Người 2 – DW &amp; BI</t>
  </si>
  <si>
    <t xml:space="preserve">Người 3 – Data Mining</t>
  </si>
  <si>
    <t xml:space="preserve">Docker Compose (MinIO, Airflow, PostgreSQL), repo Git</t>
  </si>
  <si>
    <t xml:space="preserve">Cài đặt và kết nối Power BI với PostgreSQL</t>
  </si>
  <si>
    <t xml:space="preserve">Môi trường Python cho ML</t>
  </si>
  <si>
    <t xml:space="preserve">Open-Meteo (JSON), Meteostat/NOAA (CSV) → Bronze, Silver</t>
  </si>
  <si>
    <t xml:space="preserve">GeoJSON địa giới, gán trạm vào địa điểm</t>
  </si>
  <si>
    <t xml:space="preserve">ERA5 (NetCDF, xarray) → Bronze, Silver</t>
  </si>
  <si>
    <t xml:space="preserve">ETL</t>
  </si>
  <si>
    <t xml:space="preserve">Gộp Silver thành Gold, toàn bộ DAG Airflow, kiểm tra chất lượng</t>
  </si>
  <si>
    <t xml:space="preserve">Nạp Gold vào DW (khóa thay thế, các bảng Dim)</t>
  </si>
  <si>
    <t xml:space="preserve">DAG chấm điểm dự báo (làm cùng Người 1)</t>
  </si>
  <si>
    <t xml:space="preserve">Kho dữ liệu</t>
  </si>
  <si>
    <t xml:space="preserve">Index, tối ưu truy vấn</t>
  </si>
  <si>
    <t xml:space="preserve">Thiết kế Star Schema, DDL, Dim, Fact, view OLAP</t>
  </si>
  <si>
    <t xml:space="preserve">Thiết kế FactWeatherPrediction, DimModel</t>
  </si>
  <si>
    <t xml:space="preserve">Phân tích</t>
  </si>
  <si>
    <t xml:space="preserve">–</t>
  </si>
  <si>
    <t xml:space="preserve">Dashboard: xu hướng, so sánh khu vực và nguồn, bản đồ, Roll-up/Drill-down/Slice/Dice</t>
  </si>
  <si>
    <t xml:space="preserve">EDA, tạo nhãn, đặc trưng, CART, đánh giá mô hình</t>
  </si>
  <si>
    <t xml:space="preserve">Chương nguồn dữ liệu, Data Lake, ETL</t>
  </si>
  <si>
    <t xml:space="preserve">Chương DW, OLAP, dashboard</t>
  </si>
  <si>
    <t xml:space="preserve">Chương khai phá dữ liệu, đánh giá</t>
  </si>
  <si>
    <t xml:space="preserve">Rủi ro và cách xử lý</t>
  </si>
  <si>
    <t xml:space="preserve">Vấn đề</t>
  </si>
  <si>
    <t xml:space="preserve">Chi tiết</t>
  </si>
  <si>
    <t xml:space="preserve">Cách xử lý</t>
  </si>
  <si>
    <t xml:space="preserve">ERA5 tải chậm</t>
  </si>
  <si>
    <t xml:space="preserve">Cần tài khoản Copernicus CDS; yêu cầu tải xếp hàng có thể mất nhiều giờ đến nhiều ngày.</t>
  </si>
  <si>
    <t xml:space="preserve">Đăng ký và gửi yêu cầu ngay tuần 1; chỉ lấy vùng miền Bắc và biến cần dùng; tải theo tháng/năm.</t>
  </si>
  <si>
    <t xml:space="preserve">Đang theo dõi</t>
  </si>
  <si>
    <t xml:space="preserve">Đơn vị ERA5 khác hẳn</t>
  </si>
  <si>
    <t xml:space="preserve">Nhiệt độ Kelvin, mưa mét, áp suất Pa, gió dạng u/v; ERA5-Land cộng dồn mưa từ 00 UTC.</t>
  </si>
  <si>
    <t xml:space="preserve">Đổi đơn vị ở Silver, tính tốc độ/hướng gió từ u/v, khử cộng dồn, lấy ô lưới gần nhất.</t>
  </si>
  <si>
    <t xml:space="preserve">Open-Meteo và ERA5 trùng gốc</t>
  </si>
  <si>
    <t xml:space="preserve">API lịch sử Open-Meteo dựng chủ yếu từ dữ liệu tái phân tích ERA5.</t>
  </si>
  <si>
    <t xml:space="preserve">Nêu rõ trong báo cáo; dùng như điểm cộng để đối chiếu chéo nguồn.</t>
  </si>
  <si>
    <t xml:space="preserve">Trạm Meteostat/NOAA thưa</t>
  </si>
  <si>
    <t xml:space="preserve">Miền Bắc ít trạm, nhiều giờ thiếu; không phải địa điểm nào cũng có trạm.</t>
  </si>
  <si>
    <t xml:space="preserve">Gán trạm theo khoảng cách bằng GeoPandas; khóa DimStation cho phép rỗng với nguồn lưới.</t>
  </si>
  <si>
    <t xml:space="preserve">Múi giờ</t>
  </si>
  <si>
    <t xml:space="preserve">ERA5, Meteostat dùng UTC; Open-Meteo có thể trả giờ địa phương.</t>
  </si>
  <si>
    <t xml:space="preserve">Lưu thống nhất UTC, thêm cột giờ Việt Nam (UTC+7).</t>
  </si>
  <si>
    <t xml:space="preserve">Địa giới hành chính mới</t>
  </si>
  <si>
    <t xml:space="preserve">Sáp nhập tỉnh từ 1/7/2025 (vd Hòa Bình nay thuộc Phú Thọ); danh sách địa điểm trộn tên cũ/mới.</t>
  </si>
  <si>
    <t xml:space="preserve">Địa điểm = điểm tọa độ; DimLocation lưu cả tỉnh cũ và mới; GeoJSON dùng ranh giới mới.</t>
  </si>
  <si>
    <t xml:space="preserve">Nhãn mưa chưa rõ</t>
  </si>
  <si>
    <t xml:space="preserve">Chưa xác định nguồn lấy nhãn và ngưỡng mm.</t>
  </si>
  <si>
    <t xml:space="preserve">Chốt sớm: tổng mưa 24h tới ≥ 0,1 mm (hoặc 1 mm), ưu tiên trạm, thiếu thì dùng ERA5.</t>
  </si>
  <si>
    <t xml:space="preserve">Rò rỉ dữ liệu khi học máy</t>
  </si>
  <si>
    <t xml:space="preserve">Đặc trưng vô tình chứa thông tin tương lai.</t>
  </si>
  <si>
    <t xml:space="preserve">Mọi đặc trưng chỉ dùng dữ liệu tại hoặc trước thời điểm t; chia tập theo thời gian.</t>
  </si>
  <si>
    <t xml:space="preserve">Mất cân bằng lớp</t>
  </si>
  <si>
    <t xml:space="preserve">Mùa khô có rất ít giờ mưa.</t>
  </si>
  <si>
    <t xml:space="preserve">class_weight='balanced', chỉnh ngưỡng xác suất trên tập 2024 để tăng Recall.</t>
  </si>
  <si>
    <t xml:space="preserve">Airflow trên Docker tốn ~4 GB RAM; Power BI Desktop chỉ chạy trên Windows.</t>
  </si>
  <si>
    <t xml:space="preserve">Chuẩn bị ít nhất một máy Windows RAM từ 16 GB.</t>
  </si>
</sst>
</file>

<file path=xl/styles.xml><?xml version="1.0" encoding="utf-8"?>
<styleSheet xmlns="http://schemas.openxmlformats.org/spreadsheetml/2006/main">
  <numFmts count="4">
    <numFmt numFmtId="164" formatCode="General"/>
    <numFmt numFmtId="165" formatCode="General"/>
    <numFmt numFmtId="166" formatCode="0%"/>
    <numFmt numFmtId="167" formatCode="dd/mm/yyyy"/>
  </numFmts>
  <fonts count="11">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name val="Arial"/>
      <family val="0"/>
      <charset val="1"/>
    </font>
    <font>
      <b val="true"/>
      <sz val="11"/>
      <name val="Arial"/>
      <family val="0"/>
      <charset val="1"/>
    </font>
    <font>
      <i val="true"/>
      <sz val="9"/>
      <color rgb="FF595959"/>
      <name val="Arial"/>
      <family val="0"/>
      <charset val="1"/>
    </font>
    <font>
      <b val="true"/>
      <sz val="12"/>
      <name val="Arial"/>
      <family val="0"/>
      <charset val="1"/>
    </font>
  </fonts>
  <fills count="5">
    <fill>
      <patternFill patternType="none"/>
    </fill>
    <fill>
      <patternFill patternType="gray125"/>
    </fill>
    <fill>
      <patternFill patternType="solid">
        <fgColor rgb="FF1F4E78"/>
        <bgColor rgb="FF003366"/>
      </patternFill>
    </fill>
    <fill>
      <patternFill patternType="solid">
        <fgColor rgb="FFFFF2CC"/>
        <bgColor rgb="FFFCE4D6"/>
      </patternFill>
    </fill>
    <fill>
      <patternFill patternType="solid">
        <fgColor rgb="FFDDEBF7"/>
        <bgColor rgb="FFE2EFDA"/>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left" vertical="center" textRotation="0" wrapText="false" indent="0" shrinkToFit="false"/>
      <protection locked="true" hidden="false"/>
    </xf>
    <xf numFmtId="164" fontId="7" fillId="3" borderId="1" xfId="0" applyFont="true" applyBorder="true" applyAlignment="true" applyProtection="false">
      <alignment horizontal="left" vertical="center" textRotation="0" wrapText="false" indent="0" shrinkToFit="false"/>
      <protection locked="true" hidden="false"/>
    </xf>
    <xf numFmtId="165" fontId="7" fillId="0" borderId="1" xfId="0" applyFont="true" applyBorder="true" applyAlignment="true" applyProtection="false">
      <alignment horizontal="center" vertical="center" textRotation="0" wrapText="false" indent="0" shrinkToFit="false"/>
      <protection locked="true" hidden="false"/>
    </xf>
    <xf numFmtId="166" fontId="7" fillId="0" borderId="1" xfId="0" applyFont="true" applyBorder="true" applyAlignment="true" applyProtection="false">
      <alignment horizontal="center" vertical="center" textRotation="0" wrapText="false" indent="0" shrinkToFit="false"/>
      <protection locked="true" hidden="false"/>
    </xf>
    <xf numFmtId="164" fontId="8" fillId="4" borderId="1" xfId="0" applyFont="true" applyBorder="true" applyAlignment="true" applyProtection="false">
      <alignment horizontal="left" vertical="center" textRotation="0" wrapText="false" indent="0" shrinkToFit="false"/>
      <protection locked="true" hidden="false"/>
    </xf>
    <xf numFmtId="165" fontId="8" fillId="4" borderId="1" xfId="0" applyFont="true" applyBorder="true" applyAlignment="true" applyProtection="false">
      <alignment horizontal="center" vertical="center" textRotation="0" wrapText="false" indent="0" shrinkToFit="false"/>
      <protection locked="true" hidden="false"/>
    </xf>
    <xf numFmtId="166" fontId="8" fillId="4" borderId="1" xfId="0" applyFont="true" applyBorder="true" applyAlignment="true" applyProtection="false">
      <alignment horizontal="center" vertical="center"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7" fontId="8" fillId="3" borderId="1"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center" vertical="bottom" textRotation="0" wrapText="false" indent="0" shrinkToFit="false"/>
      <protection locked="true" hidden="false"/>
    </xf>
    <xf numFmtId="167" fontId="7" fillId="0" borderId="1" xfId="0" applyFont="true" applyBorder="true" applyAlignment="true" applyProtection="false">
      <alignment horizontal="center" vertical="bottom" textRotation="0" wrapText="false" indent="0" shrinkToFit="false"/>
      <protection locked="true" hidden="false"/>
    </xf>
    <xf numFmtId="166" fontId="7" fillId="0" borderId="1" xfId="0" applyFont="true" applyBorder="true" applyAlignment="true" applyProtection="false">
      <alignment horizontal="center"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center"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7" fontId="7" fillId="0" borderId="1" xfId="0" applyFont="true" applyBorder="true" applyAlignment="true" applyProtection="false">
      <alignment horizontal="center" vertical="top" textRotation="0" wrapText="true" indent="0" shrinkToFit="false"/>
      <protection locked="true" hidden="false"/>
    </xf>
    <xf numFmtId="164" fontId="7" fillId="3" borderId="1" xfId="0" applyFont="true" applyBorder="true" applyAlignment="true" applyProtection="false">
      <alignment horizontal="center" vertical="top" textRotation="0" wrapText="true" indent="0" shrinkToFit="false"/>
      <protection locked="true" hidden="false"/>
    </xf>
    <xf numFmtId="166" fontId="7" fillId="3" borderId="1" xfId="0" applyFont="true" applyBorder="true" applyAlignment="true" applyProtection="false">
      <alignment horizontal="center"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FFF2CC"/>
          <bgColor rgb="FF000000"/>
        </patternFill>
      </fill>
    </dxf>
    <dxf>
      <font>
        <name val="Arial"/>
        <charset val="1"/>
        <family val="0"/>
        <color rgb="FF375623"/>
      </font>
      <fill>
        <patternFill>
          <bgColor rgb="FFE2EFDA"/>
        </patternFill>
      </fill>
    </dxf>
    <dxf>
      <fill>
        <patternFill>
          <bgColor rgb="FFFCE4D6"/>
        </patternFill>
      </fill>
    </dxf>
    <dxf>
      <fill>
        <patternFill>
          <bgColor rgb="FFF8CBAD"/>
        </patternFill>
      </fill>
    </dxf>
    <dxf>
      <fill>
        <patternFill>
          <bgColor rgb="FFFFF2C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CE4D6"/>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37562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16"/>
    <col collapsed="false" customWidth="true" hidden="false" outlineLevel="0" max="3" min="3" style="0" width="18"/>
    <col collapsed="false" customWidth="true" hidden="false" outlineLevel="0" max="4" min="4" style="0" width="16"/>
    <col collapsed="false" customWidth="true" hidden="false" outlineLevel="0" max="5" min="5" style="0" width="12"/>
    <col collapsed="false" customWidth="true" hidden="false" outlineLevel="0" max="6" min="6" style="0" width="13"/>
    <col collapsed="false" customWidth="true" hidden="false" outlineLevel="0" max="7" min="7" style="0" width="12"/>
    <col collapsed="false" customWidth="true" hidden="false" outlineLevel="0" max="10" min="8" style="0" width="11"/>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B4" s="3" t="s">
        <v>2</v>
      </c>
      <c r="C4" s="3" t="s">
        <v>3</v>
      </c>
      <c r="D4" s="3" t="s">
        <v>4</v>
      </c>
      <c r="E4" s="3" t="s">
        <v>5</v>
      </c>
      <c r="F4" s="3" t="s">
        <v>6</v>
      </c>
      <c r="G4" s="3" t="s">
        <v>7</v>
      </c>
      <c r="H4" s="3" t="s">
        <v>8</v>
      </c>
      <c r="I4" s="3" t="s">
        <v>9</v>
      </c>
      <c r="J4" s="3" t="s">
        <v>10</v>
      </c>
    </row>
    <row r="5" customFormat="false" ht="15" hidden="false" customHeight="false" outlineLevel="0" collapsed="false">
      <c r="B5" s="4" t="s">
        <v>11</v>
      </c>
      <c r="C5" s="5" t="s">
        <v>12</v>
      </c>
      <c r="D5" s="4" t="s">
        <v>13</v>
      </c>
      <c r="E5" s="6" t="n">
        <f aca="false">COUNTIF('Theo dõi công việc'!$G$5:$G$200,B5)</f>
        <v>13</v>
      </c>
      <c r="F5" s="6" t="n">
        <f aca="false">COUNTIFS('Theo dõi công việc'!$G$5:$G$200,B5,'Theo dõi công việc'!$M$5:$M$200,"Hoàn thành")</f>
        <v>0</v>
      </c>
      <c r="G5" s="6" t="n">
        <f aca="false">COUNTIFS('Theo dõi công việc'!$G$5:$G$200,B5,'Theo dõi công việc'!$M$5:$M$200,"Đang làm")</f>
        <v>0</v>
      </c>
      <c r="H5" s="6" t="n">
        <f aca="false">COUNTIFS('Theo dõi công việc'!$G$5:$G$200,B5,'Theo dõi công việc'!$M$5:$M$200,"Bị chặn")</f>
        <v>0</v>
      </c>
      <c r="I5" s="6" t="n">
        <f aca="true">COUNTIFS('Theo dõi công việc'!$G$5:$G$200,B5,'Theo dõi công việc'!$L$5:$L$200,"&lt;"&amp;TODAY(),'Theo dõi công việc'!$M$5:$M$200,"&lt;&gt;Hoàn thành")</f>
        <v>0</v>
      </c>
      <c r="J5" s="7" t="n">
        <f aca="false">IFERROR(AVERAGEIF('Theo dõi công việc'!$G$5:$G$200,B5,'Theo dõi công việc'!$N$5:$N$200),0)</f>
        <v>0</v>
      </c>
    </row>
    <row r="6" customFormat="false" ht="15" hidden="false" customHeight="false" outlineLevel="0" collapsed="false">
      <c r="B6" s="4" t="s">
        <v>14</v>
      </c>
      <c r="C6" s="5" t="s">
        <v>15</v>
      </c>
      <c r="D6" s="4" t="s">
        <v>16</v>
      </c>
      <c r="E6" s="6" t="n">
        <f aca="false">COUNTIF('Theo dõi công việc'!$G$5:$G$200,B6)</f>
        <v>12</v>
      </c>
      <c r="F6" s="6" t="n">
        <f aca="false">COUNTIFS('Theo dõi công việc'!$G$5:$G$200,B6,'Theo dõi công việc'!$M$5:$M$200,"Hoàn thành")</f>
        <v>0</v>
      </c>
      <c r="G6" s="6" t="n">
        <f aca="false">COUNTIFS('Theo dõi công việc'!$G$5:$G$200,B6,'Theo dõi công việc'!$M$5:$M$200,"Đang làm")</f>
        <v>0</v>
      </c>
      <c r="H6" s="6" t="n">
        <f aca="false">COUNTIFS('Theo dõi công việc'!$G$5:$G$200,B6,'Theo dõi công việc'!$M$5:$M$200,"Bị chặn")</f>
        <v>0</v>
      </c>
      <c r="I6" s="6" t="n">
        <f aca="true">COUNTIFS('Theo dõi công việc'!$G$5:$G$200,B6,'Theo dõi công việc'!$L$5:$L$200,"&lt;"&amp;TODAY(),'Theo dõi công việc'!$M$5:$M$200,"&lt;&gt;Hoàn thành")</f>
        <v>0</v>
      </c>
      <c r="J6" s="7" t="n">
        <f aca="false">IFERROR(AVERAGEIF('Theo dõi công việc'!$G$5:$G$200,B6,'Theo dõi công việc'!$N$5:$N$200),0)</f>
        <v>0</v>
      </c>
    </row>
    <row r="7" customFormat="false" ht="15" hidden="false" customHeight="false" outlineLevel="0" collapsed="false">
      <c r="B7" s="4" t="s">
        <v>17</v>
      </c>
      <c r="C7" s="5" t="s">
        <v>18</v>
      </c>
      <c r="D7" s="4" t="s">
        <v>19</v>
      </c>
      <c r="E7" s="6" t="n">
        <f aca="false">COUNTIF('Theo dõi công việc'!$G$5:$G$200,B7)</f>
        <v>12</v>
      </c>
      <c r="F7" s="6" t="n">
        <f aca="false">COUNTIFS('Theo dõi công việc'!$G$5:$G$200,B7,'Theo dõi công việc'!$M$5:$M$200,"Hoàn thành")</f>
        <v>0</v>
      </c>
      <c r="G7" s="6" t="n">
        <f aca="false">COUNTIFS('Theo dõi công việc'!$G$5:$G$200,B7,'Theo dõi công việc'!$M$5:$M$200,"Đang làm")</f>
        <v>0</v>
      </c>
      <c r="H7" s="6" t="n">
        <f aca="false">COUNTIFS('Theo dõi công việc'!$G$5:$G$200,B7,'Theo dõi công việc'!$M$5:$M$200,"Bị chặn")</f>
        <v>0</v>
      </c>
      <c r="I7" s="6" t="n">
        <f aca="true">COUNTIFS('Theo dõi công việc'!$G$5:$G$200,B7,'Theo dõi công việc'!$L$5:$L$200,"&lt;"&amp;TODAY(),'Theo dõi công việc'!$M$5:$M$200,"&lt;&gt;Hoàn thành")</f>
        <v>0</v>
      </c>
      <c r="J7" s="7" t="n">
        <f aca="false">IFERROR(AVERAGEIF('Theo dõi công việc'!$G$5:$G$200,B7,'Theo dõi công việc'!$N$5:$N$200),0)</f>
        <v>0</v>
      </c>
    </row>
    <row r="8" customFormat="false" ht="15" hidden="false" customHeight="false" outlineLevel="0" collapsed="false">
      <c r="B8" s="4" t="s">
        <v>20</v>
      </c>
      <c r="C8" s="4" t="s">
        <v>20</v>
      </c>
      <c r="D8" s="4" t="s">
        <v>21</v>
      </c>
      <c r="E8" s="6" t="n">
        <f aca="false">COUNTIF('Theo dõi công việc'!$G$5:$G$200,B8)</f>
        <v>3</v>
      </c>
      <c r="F8" s="6" t="n">
        <f aca="false">COUNTIFS('Theo dõi công việc'!$G$5:$G$200,B8,'Theo dõi công việc'!$M$5:$M$200,"Hoàn thành")</f>
        <v>0</v>
      </c>
      <c r="G8" s="6" t="n">
        <f aca="false">COUNTIFS('Theo dõi công việc'!$G$5:$G$200,B8,'Theo dõi công việc'!$M$5:$M$200,"Đang làm")</f>
        <v>0</v>
      </c>
      <c r="H8" s="6" t="n">
        <f aca="false">COUNTIFS('Theo dõi công việc'!$G$5:$G$200,B8,'Theo dõi công việc'!$M$5:$M$200,"Bị chặn")</f>
        <v>0</v>
      </c>
      <c r="I8" s="6" t="n">
        <f aca="true">COUNTIFS('Theo dõi công việc'!$G$5:$G$200,B8,'Theo dõi công việc'!$L$5:$L$200,"&lt;"&amp;TODAY(),'Theo dõi công việc'!$M$5:$M$200,"&lt;&gt;Hoàn thành")</f>
        <v>0</v>
      </c>
      <c r="J8" s="7" t="n">
        <f aca="false">IFERROR(AVERAGEIF('Theo dõi công việc'!$G$5:$G$200,B8,'Theo dõi công việc'!$N$5:$N$200),0)</f>
        <v>0</v>
      </c>
    </row>
    <row r="9" customFormat="false" ht="15" hidden="false" customHeight="false" outlineLevel="0" collapsed="false">
      <c r="B9" s="8" t="s">
        <v>22</v>
      </c>
      <c r="C9" s="8"/>
      <c r="D9" s="8"/>
      <c r="E9" s="9" t="n">
        <f aca="false">SUM(E5:E8)</f>
        <v>40</v>
      </c>
      <c r="F9" s="9" t="n">
        <f aca="false">SUM(F5:F8)</f>
        <v>0</v>
      </c>
      <c r="G9" s="9" t="n">
        <f aca="false">SUM(G5:G8)</f>
        <v>0</v>
      </c>
      <c r="H9" s="9" t="n">
        <f aca="false">SUM(H5:H8)</f>
        <v>0</v>
      </c>
      <c r="I9" s="9" t="n">
        <f aca="false">SUM(I5:I8)</f>
        <v>0</v>
      </c>
      <c r="J9" s="10" t="n">
        <f aca="false">IFERROR(AVERAGE('Theo dõi công việc'!$N$5:$N$200),0)</f>
        <v>0</v>
      </c>
    </row>
    <row r="11" customFormat="false" ht="15" hidden="false" customHeight="false" outlineLevel="0" collapsed="false">
      <c r="B11" s="11" t="s">
        <v>23</v>
      </c>
      <c r="E11" s="12" t="n">
        <v>46307</v>
      </c>
      <c r="F11" s="13" t="s">
        <v>24</v>
      </c>
    </row>
    <row r="13" customFormat="false" ht="15" hidden="false" customHeight="false" outlineLevel="0" collapsed="false">
      <c r="B13" s="14" t="s">
        <v>25</v>
      </c>
    </row>
    <row r="14" customFormat="false" ht="39.55" hidden="false" customHeight="false" outlineLevel="0" collapsed="false">
      <c r="B14" s="3" t="s">
        <v>26</v>
      </c>
      <c r="C14" s="3" t="s">
        <v>27</v>
      </c>
      <c r="D14" s="3" t="s">
        <v>28</v>
      </c>
      <c r="E14" s="3" t="s">
        <v>29</v>
      </c>
      <c r="F14" s="3" t="s">
        <v>30</v>
      </c>
      <c r="G14" s="3" t="s">
        <v>31</v>
      </c>
    </row>
    <row r="15" customFormat="false" ht="15" hidden="false" customHeight="false" outlineLevel="0" collapsed="false">
      <c r="B15" s="15" t="n">
        <v>1</v>
      </c>
      <c r="C15" s="16" t="n">
        <f aca="false">$E$11+(B15-1)*7</f>
        <v>46307</v>
      </c>
      <c r="D15" s="16" t="n">
        <f aca="false">C15+4</f>
        <v>46311</v>
      </c>
      <c r="E15" s="15" t="n">
        <f aca="false">COUNTIF('Theo dõi công việc'!$C$5:$C$200,B15)</f>
        <v>7</v>
      </c>
      <c r="F15" s="15" t="n">
        <f aca="false">COUNTIFS('Theo dõi công việc'!$C$5:$C$200,B15,'Theo dõi công việc'!$M$5:$M$200,"Hoàn thành")</f>
        <v>0</v>
      </c>
      <c r="G15" s="17" t="n">
        <f aca="false">IF(E15=0,"-",F15/E15)</f>
        <v>0</v>
      </c>
    </row>
    <row r="16" customFormat="false" ht="15" hidden="false" customHeight="false" outlineLevel="0" collapsed="false">
      <c r="B16" s="15" t="n">
        <v>2</v>
      </c>
      <c r="C16" s="16" t="n">
        <f aca="false">$E$11+(B16-1)*7</f>
        <v>46314</v>
      </c>
      <c r="D16" s="16" t="n">
        <f aca="false">C16+4</f>
        <v>46318</v>
      </c>
      <c r="E16" s="15" t="n">
        <f aca="false">COUNTIF('Theo dõi công việc'!$C$5:$C$200,B16)</f>
        <v>0</v>
      </c>
      <c r="F16" s="15" t="n">
        <f aca="false">COUNTIFS('Theo dõi công việc'!$C$5:$C$200,B16,'Theo dõi công việc'!$M$5:$M$200,"Hoàn thành")</f>
        <v>0</v>
      </c>
      <c r="G16" s="17" t="str">
        <f aca="false">IF(E16=0,"-",F16/E16)</f>
        <v>-</v>
      </c>
    </row>
    <row r="17" customFormat="false" ht="15" hidden="false" customHeight="false" outlineLevel="0" collapsed="false">
      <c r="B17" s="15" t="n">
        <v>3</v>
      </c>
      <c r="C17" s="16" t="n">
        <f aca="false">$E$11+(B17-1)*7</f>
        <v>46321</v>
      </c>
      <c r="D17" s="16" t="n">
        <f aca="false">C17+4</f>
        <v>46325</v>
      </c>
      <c r="E17" s="15" t="n">
        <f aca="false">COUNTIF('Theo dõi công việc'!$C$5:$C$200,B17)</f>
        <v>8</v>
      </c>
      <c r="F17" s="15" t="n">
        <f aca="false">COUNTIFS('Theo dõi công việc'!$C$5:$C$200,B17,'Theo dõi công việc'!$M$5:$M$200,"Hoàn thành")</f>
        <v>0</v>
      </c>
      <c r="G17" s="17" t="n">
        <f aca="false">IF(E17=0,"-",F17/E17)</f>
        <v>0</v>
      </c>
    </row>
    <row r="18" customFormat="false" ht="15" hidden="false" customHeight="false" outlineLevel="0" collapsed="false">
      <c r="B18" s="15" t="n">
        <v>4</v>
      </c>
      <c r="C18" s="16" t="n">
        <f aca="false">$E$11+(B18-1)*7</f>
        <v>46328</v>
      </c>
      <c r="D18" s="16" t="n">
        <f aca="false">C18+4</f>
        <v>46332</v>
      </c>
      <c r="E18" s="15" t="n">
        <f aca="false">COUNTIF('Theo dõi công việc'!$C$5:$C$200,B18)</f>
        <v>0</v>
      </c>
      <c r="F18" s="15" t="n">
        <f aca="false">COUNTIFS('Theo dõi công việc'!$C$5:$C$200,B18,'Theo dõi công việc'!$M$5:$M$200,"Hoàn thành")</f>
        <v>0</v>
      </c>
      <c r="G18" s="17" t="str">
        <f aca="false">IF(E18=0,"-",F18/E18)</f>
        <v>-</v>
      </c>
    </row>
    <row r="19" customFormat="false" ht="15" hidden="false" customHeight="false" outlineLevel="0" collapsed="false">
      <c r="B19" s="15" t="n">
        <v>5</v>
      </c>
      <c r="C19" s="16" t="n">
        <f aca="false">$E$11+(B19-1)*7</f>
        <v>46335</v>
      </c>
      <c r="D19" s="16" t="n">
        <f aca="false">C19+4</f>
        <v>46339</v>
      </c>
      <c r="E19" s="15" t="n">
        <f aca="false">COUNTIF('Theo dõi công việc'!$C$5:$C$200,B19)</f>
        <v>8</v>
      </c>
      <c r="F19" s="15" t="n">
        <f aca="false">COUNTIFS('Theo dõi công việc'!$C$5:$C$200,B19,'Theo dõi công việc'!$M$5:$M$200,"Hoàn thành")</f>
        <v>0</v>
      </c>
      <c r="G19" s="17" t="n">
        <f aca="false">IF(E19=0,"-",F19/E19)</f>
        <v>0</v>
      </c>
    </row>
    <row r="20" customFormat="false" ht="15" hidden="false" customHeight="false" outlineLevel="0" collapsed="false">
      <c r="B20" s="15" t="n">
        <v>6</v>
      </c>
      <c r="C20" s="16" t="n">
        <f aca="false">$E$11+(B20-1)*7</f>
        <v>46342</v>
      </c>
      <c r="D20" s="16" t="n">
        <f aca="false">C20+4</f>
        <v>46346</v>
      </c>
      <c r="E20" s="15" t="n">
        <f aca="false">COUNTIF('Theo dõi công việc'!$C$5:$C$200,B20)</f>
        <v>0</v>
      </c>
      <c r="F20" s="15" t="n">
        <f aca="false">COUNTIFS('Theo dõi công việc'!$C$5:$C$200,B20,'Theo dõi công việc'!$M$5:$M$200,"Hoàn thành")</f>
        <v>0</v>
      </c>
      <c r="G20" s="17" t="str">
        <f aca="false">IF(E20=0,"-",F20/E20)</f>
        <v>-</v>
      </c>
    </row>
    <row r="21" customFormat="false" ht="15" hidden="false" customHeight="false" outlineLevel="0" collapsed="false">
      <c r="B21" s="15" t="n">
        <v>7</v>
      </c>
      <c r="C21" s="16" t="n">
        <f aca="false">$E$11+(B21-1)*7</f>
        <v>46349</v>
      </c>
      <c r="D21" s="16" t="n">
        <f aca="false">C21+4</f>
        <v>46353</v>
      </c>
      <c r="E21" s="15" t="n">
        <f aca="false">COUNTIF('Theo dõi công việc'!$C$5:$C$200,B21)</f>
        <v>7</v>
      </c>
      <c r="F21" s="15" t="n">
        <f aca="false">COUNTIFS('Theo dõi công việc'!$C$5:$C$200,B21,'Theo dõi công việc'!$M$5:$M$200,"Hoàn thành")</f>
        <v>0</v>
      </c>
      <c r="G21" s="17" t="n">
        <f aca="false">IF(E21=0,"-",F21/E21)</f>
        <v>0</v>
      </c>
    </row>
    <row r="22" customFormat="false" ht="15" hidden="false" customHeight="false" outlineLevel="0" collapsed="false">
      <c r="B22" s="15" t="n">
        <v>8</v>
      </c>
      <c r="C22" s="16" t="n">
        <f aca="false">$E$11+(B22-1)*7</f>
        <v>46356</v>
      </c>
      <c r="D22" s="16" t="n">
        <f aca="false">C22+4</f>
        <v>46360</v>
      </c>
      <c r="E22" s="15" t="n">
        <f aca="false">COUNTIF('Theo dõi công việc'!$C$5:$C$200,B22)</f>
        <v>3</v>
      </c>
      <c r="F22" s="15" t="n">
        <f aca="false">COUNTIFS('Theo dõi công việc'!$C$5:$C$200,B22,'Theo dõi công việc'!$M$5:$M$200,"Hoàn thành")</f>
        <v>0</v>
      </c>
      <c r="G22" s="17" t="n">
        <f aca="false">IF(E22=0,"-",F22/E22)</f>
        <v>0</v>
      </c>
    </row>
    <row r="23" customFormat="false" ht="15" hidden="false" customHeight="false" outlineLevel="0" collapsed="false">
      <c r="B23" s="15" t="n">
        <v>9</v>
      </c>
      <c r="C23" s="16" t="n">
        <f aca="false">$E$11+(B23-1)*7</f>
        <v>46363</v>
      </c>
      <c r="D23" s="16" t="n">
        <f aca="false">C23+4</f>
        <v>46367</v>
      </c>
      <c r="E23" s="15" t="n">
        <f aca="false">COUNTIF('Theo dõi công việc'!$C$5:$C$200,B23)</f>
        <v>3</v>
      </c>
      <c r="F23" s="15" t="n">
        <f aca="false">COUNTIFS('Theo dõi công việc'!$C$5:$C$200,B23,'Theo dõi công việc'!$M$5:$M$200,"Hoàn thành")</f>
        <v>0</v>
      </c>
      <c r="G23" s="17" t="n">
        <f aca="false">IF(E23=0,"-",F23/E23)</f>
        <v>0</v>
      </c>
    </row>
    <row r="24" customFormat="false" ht="15" hidden="false" customHeight="false" outlineLevel="0" collapsed="false">
      <c r="B24" s="15" t="n">
        <v>10</v>
      </c>
      <c r="C24" s="16" t="n">
        <f aca="false">$E$11+(B24-1)*7</f>
        <v>46370</v>
      </c>
      <c r="D24" s="16" t="n">
        <f aca="false">C24+4</f>
        <v>46374</v>
      </c>
      <c r="E24" s="15" t="n">
        <f aca="false">COUNTIF('Theo dõi công việc'!$C$5:$C$200,B24)</f>
        <v>4</v>
      </c>
      <c r="F24" s="15" t="n">
        <f aca="false">COUNTIFS('Theo dõi công việc'!$C$5:$C$200,B24,'Theo dõi công việc'!$M$5:$M$200,"Hoàn thành")</f>
        <v>0</v>
      </c>
      <c r="G24" s="17" t="n">
        <f aca="false">IF(E24=0,"-",F24/E24)</f>
        <v>0</v>
      </c>
    </row>
    <row r="27" customFormat="false" ht="15" hidden="false" customHeight="false" outlineLevel="0" collapsed="false">
      <c r="B27" s="14" t="s">
        <v>32</v>
      </c>
    </row>
    <row r="28" customFormat="false" ht="15" hidden="false" customHeight="false" outlineLevel="0" collapsed="false">
      <c r="B28" s="11" t="s">
        <v>33</v>
      </c>
      <c r="C28" s="18" t="s">
        <v>34</v>
      </c>
    </row>
    <row r="29" customFormat="false" ht="15" hidden="false" customHeight="false" outlineLevel="0" collapsed="false">
      <c r="B29" s="11" t="s">
        <v>35</v>
      </c>
      <c r="C29" s="18" t="s">
        <v>36</v>
      </c>
    </row>
    <row r="30" customFormat="false" ht="15" hidden="false" customHeight="false" outlineLevel="0" collapsed="false">
      <c r="B30" s="11" t="s">
        <v>37</v>
      </c>
      <c r="C30" s="18" t="s">
        <v>38</v>
      </c>
    </row>
    <row r="31" customFormat="false" ht="15" hidden="false" customHeight="false" outlineLevel="0" collapsed="false">
      <c r="B31" s="11" t="s">
        <v>39</v>
      </c>
      <c r="C31" s="18" t="s">
        <v>40</v>
      </c>
    </row>
    <row r="32" customFormat="false" ht="15" hidden="false" customHeight="false" outlineLevel="0" collapsed="false">
      <c r="B32" s="11" t="s">
        <v>9</v>
      </c>
      <c r="C32" s="18" t="s">
        <v>41</v>
      </c>
    </row>
    <row r="33" customFormat="false" ht="15" hidden="false" customHeight="false" outlineLevel="0" collapsed="false">
      <c r="B33" s="11" t="s">
        <v>42</v>
      </c>
      <c r="C33" s="18" t="s">
        <v>43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3" min="2" style="0" width="8"/>
    <col collapsed="false" customWidth="true" hidden="false" outlineLevel="0" max="4" min="4" style="0" width="11"/>
    <col collapsed="false" customWidth="true" hidden="false" outlineLevel="0" max="5" min="5" style="0" width="17"/>
    <col collapsed="false" customWidth="true" hidden="false" outlineLevel="0" max="6" min="6" style="0" width="55"/>
    <col collapsed="false" customWidth="true" hidden="false" outlineLevel="0" max="7" min="7" style="0" width="10"/>
    <col collapsed="false" customWidth="true" hidden="false" outlineLevel="0" max="8" min="8" style="0" width="14"/>
    <col collapsed="false" customWidth="true" hidden="false" outlineLevel="0" max="9" min="9" style="0" width="9"/>
    <col collapsed="false" customWidth="true" hidden="false" outlineLevel="0" max="10" min="10" style="0" width="30"/>
    <col collapsed="false" customWidth="true" hidden="false" outlineLevel="0" max="12" min="11" style="0" width="12"/>
    <col collapsed="false" customWidth="true" hidden="false" outlineLevel="0" max="13" min="13" style="0" width="14"/>
    <col collapsed="false" customWidth="true" hidden="false" outlineLevel="0" max="14" min="14" style="0" width="11"/>
    <col collapsed="false" customWidth="true" hidden="false" outlineLevel="0" max="15" min="15" style="0" width="25"/>
  </cols>
  <sheetData>
    <row r="1" customFormat="false" ht="17.35" hidden="false" customHeight="false" outlineLevel="0" collapsed="false">
      <c r="A1" s="1" t="s">
        <v>44</v>
      </c>
    </row>
    <row r="2" customFormat="false" ht="15" hidden="false" customHeight="false" outlineLevel="0" collapsed="false">
      <c r="A2" s="2" t="s">
        <v>45</v>
      </c>
    </row>
    <row r="4" customFormat="false" ht="31.5" hidden="false" customHeight="true" outlineLevel="0" collapsed="false">
      <c r="A4" s="3" t="s">
        <v>46</v>
      </c>
      <c r="B4" s="3" t="s">
        <v>47</v>
      </c>
      <c r="C4" s="3" t="s">
        <v>48</v>
      </c>
      <c r="D4" s="3" t="s">
        <v>49</v>
      </c>
      <c r="E4" s="3" t="s">
        <v>50</v>
      </c>
      <c r="F4" s="3" t="s">
        <v>51</v>
      </c>
      <c r="G4" s="3" t="s">
        <v>39</v>
      </c>
      <c r="H4" s="3" t="s">
        <v>52</v>
      </c>
      <c r="I4" s="3" t="s">
        <v>53</v>
      </c>
      <c r="J4" s="3" t="s">
        <v>54</v>
      </c>
      <c r="K4" s="3" t="s">
        <v>55</v>
      </c>
      <c r="L4" s="3" t="s">
        <v>56</v>
      </c>
      <c r="M4" s="3" t="s">
        <v>37</v>
      </c>
      <c r="N4" s="3" t="s">
        <v>31</v>
      </c>
      <c r="O4" s="3" t="s">
        <v>57</v>
      </c>
    </row>
    <row r="5" customFormat="false" ht="26.85" hidden="false" customHeight="false" outlineLevel="0" collapsed="false">
      <c r="A5" s="19" t="n">
        <v>1</v>
      </c>
      <c r="B5" s="19" t="n">
        <v>1</v>
      </c>
      <c r="C5" s="19" t="n">
        <v>1</v>
      </c>
      <c r="D5" s="19" t="s">
        <v>58</v>
      </c>
      <c r="E5" s="20" t="s">
        <v>59</v>
      </c>
      <c r="F5" s="20" t="s">
        <v>60</v>
      </c>
      <c r="G5" s="19" t="s">
        <v>11</v>
      </c>
      <c r="H5" s="20" t="str">
        <f aca="false">IF(G5="Cả nhóm","Cả nhóm",IFERROR(INDEX('Tổng quan'!$C$5:$C$7,MATCH(G5,'Tổng quan'!$B$5:$B$7,0)),""))</f>
        <v>Người 1</v>
      </c>
      <c r="I5" s="20"/>
      <c r="J5" s="20" t="s">
        <v>61</v>
      </c>
      <c r="K5" s="21" t="n">
        <f aca="false">'Tổng quan'!$E$11+(B5-1)*7</f>
        <v>46307</v>
      </c>
      <c r="L5" s="21" t="n">
        <f aca="false">'Tổng quan'!$E$11+(C5-1)*7+4</f>
        <v>46311</v>
      </c>
      <c r="M5" s="22" t="inlineStr">
        <is>
          <t>Đang làm</t>
        </is>
      </c>
      <c r="N5" s="23" t="n">
        <v>95</v>
      </c>
      <c r="O5" s="24" t="inlineStr">
        <is>
          <t>22/10: kiểm chứng đầu-cuối: webserver + scheduler healthy (/health), 2 DAG nạp không lỗi, DAG kiểm tra hệ thống chạy thành công qua REST API (cả 2 task); DW giữ nguyên sau khi khởi động lại. Kiểm chứng trên 1 máy (cả nhóm hiện là 1 người). Đủ tiêu chí, chờ bạn xác nhận Hoàn thành</t>
        </is>
      </c>
    </row>
    <row r="6" customFormat="false" ht="26.85" hidden="false" customHeight="false" outlineLevel="0" collapsed="false">
      <c r="A6" s="19" t="n">
        <v>2</v>
      </c>
      <c r="B6" s="19" t="n">
        <v>1</v>
      </c>
      <c r="C6" s="19" t="n">
        <v>1</v>
      </c>
      <c r="D6" s="19" t="s">
        <v>58</v>
      </c>
      <c r="E6" s="20" t="s">
        <v>63</v>
      </c>
      <c r="F6" s="20" t="s">
        <v>64</v>
      </c>
      <c r="G6" s="19" t="s">
        <v>11</v>
      </c>
      <c r="H6" s="20" t="str">
        <f aca="false">IF(G6="Cả nhóm","Cả nhóm",IFERROR(INDEX('Tổng quan'!$C$5:$C$7,MATCH(G6,'Tổng quan'!$B$5:$B$7,0)),""))</f>
        <v>Người 1</v>
      </c>
      <c r="I6" s="20"/>
      <c r="J6" s="20" t="s">
        <v>65</v>
      </c>
      <c r="K6" s="21" t="n">
        <f aca="false">'Tổng quan'!$E$11+(B6-1)*7</f>
        <v>46307</v>
      </c>
      <c r="L6" s="21" t="n">
        <f aca="false">'Tổng quan'!$E$11+(C6-1)*7+4</f>
        <v>46311</v>
      </c>
      <c r="M6" s="22" t="inlineStr">
        <is>
          <t>Đang làm</t>
        </is>
      </c>
      <c r="N6" s="23" t="n">
        <v>95</v>
      </c>
      <c r="O6" s="24" t="inlineStr">
        <is>
          <t>22/10: 3 bucket, key đúng quy ước. Bronze Open-Meteo giữ nguyên bytes gốc + manifest (SHA-256, độ phủ, tọa độ lưới) cho cả 80 file; bỏ qua theo checksum, không theo kích thước. Còn lại: Bronze Meteostat chưa có manifest (thuộc ID 9)</t>
        </is>
      </c>
    </row>
    <row r="7" customFormat="false" ht="15" hidden="false" customHeight="false" outlineLevel="0" collapsed="false">
      <c r="A7" s="19" t="n">
        <v>3</v>
      </c>
      <c r="B7" s="19" t="n">
        <v>1</v>
      </c>
      <c r="C7" s="19" t="n">
        <v>1</v>
      </c>
      <c r="D7" s="19" t="s">
        <v>58</v>
      </c>
      <c r="E7" s="20" t="s">
        <v>66</v>
      </c>
      <c r="F7" s="20" t="s">
        <v>67</v>
      </c>
      <c r="G7" s="19" t="s">
        <v>14</v>
      </c>
      <c r="H7" s="20" t="str">
        <f aca="false">IF(G7="Cả nhóm","Cả nhóm",IFERROR(INDEX('Tổng quan'!$C$5:$C$7,MATCH(G7,'Tổng quan'!$B$5:$B$7,0)),""))</f>
        <v>Người 2</v>
      </c>
      <c r="I7" s="20" t="s">
        <v>17</v>
      </c>
      <c r="J7" s="20" t="s">
        <v>68</v>
      </c>
      <c r="K7" s="21" t="n">
        <f aca="false">'Tổng quan'!$E$11+(B7-1)*7</f>
        <v>46307</v>
      </c>
      <c r="L7" s="21" t="n">
        <f aca="false">'Tổng quan'!$E$11+(C7-1)*7+4</f>
        <v>46311</v>
      </c>
      <c r="M7" s="22" t="inlineStr">
        <is>
          <t>Đang làm</t>
        </is>
      </c>
      <c r="N7" s="23" t="n">
        <v>95</v>
      </c>
      <c r="O7" s="24" t="inlineStr">
        <is>
          <t>22/10: sơ đồ Star Schema sinh từ DW thật (9 bảng, 14 khóa ngoại, grain từng fact): docs/diagrams/star-schema.md; thay bản phác 13/10 chỉ có trong outputs/. Cơ sở lịch UTC+7, prediction, chọn trạm (tối đa 1 trạm/điểm) đều đã chốt. Chờ bạn xác nhận Hoàn thành</t>
        </is>
      </c>
    </row>
    <row r="8" customFormat="false" ht="26.85" hidden="false" customHeight="false" outlineLevel="0" collapsed="false">
      <c r="A8" s="19" t="n">
        <v>4</v>
      </c>
      <c r="B8" s="19" t="n">
        <v>1</v>
      </c>
      <c r="C8" s="19" t="n">
        <v>1</v>
      </c>
      <c r="D8" s="19" t="s">
        <v>58</v>
      </c>
      <c r="E8" s="20" t="s">
        <v>69</v>
      </c>
      <c r="F8" s="20" t="inlineStr">
        <is>
          <t>Tải GeoJSON địa giới Việt Nam, ranh giới TRƯỚC sáp nhập (63 tỉnh). Đổi phạm vi ngày 21/10/2026; mô tả gốc: "ranh giới sau sáp nhập 1/7/2025"</t>
        </is>
      </c>
      <c r="G8" s="19" t="s">
        <v>14</v>
      </c>
      <c r="H8" s="20" t="str">
        <f aca="false">IF(G8="Cả nhóm","Cả nhóm",IFERROR(INDEX('Tổng quan'!$C$5:$C$7,MATCH(G8,'Tổng quan'!$B$5:$B$7,0)),""))</f>
        <v>Người 2</v>
      </c>
      <c r="I8" s="20"/>
      <c r="J8" s="20" t="s">
        <v>71</v>
      </c>
      <c r="K8" s="21" t="n">
        <f aca="false">'Tổng quan'!$E$11+(B8-1)*7</f>
        <v>46307</v>
      </c>
      <c r="L8" s="21" t="n">
        <f aca="false">'Tổng quan'!$E$11+(C8-1)*7+4</f>
        <v>46311</v>
      </c>
      <c r="M8" s="22" t="inlineStr">
        <is>
          <t>Đang làm</t>
        </is>
      </c>
      <c r="N8" s="23" t="n">
        <v>90</v>
      </c>
      <c r="O8" s="24" t="inlineStr">
        <is>
          <t>22/10: scripts/ingest_boundaries.py: GeoJSON 63 tỉnh trước sáp nhập (geoBoundaries VNM ADM1, commit 9469f09, năm 2008) trong Bronze kèm manifest (SHA-256, giấy phép, CRS); Silver 25 tỉnh miền Bắc (QĐ 368, 369/QĐ-TTg), 8 tỉnh có dữ liệu. Hình học hợp lệ 64/64; 8/8 điểm nằm đúng tỉnh trong dim_location. Hạn chế: ranh giới lấy từ Wikipedia/Wikimedia, độ chi tiết thấp; giấy phép ghi Public Domain (geoBoundaries) và ODbL (HDX). Phạm vi đã chốt 21/10: không làm ranh giới sau sáp nhập</t>
        </is>
      </c>
    </row>
    <row r="9" customFormat="false" ht="26.85" hidden="false" customHeight="false" outlineLevel="0" collapsed="false">
      <c r="A9" s="19" t="n">
        <v>5</v>
      </c>
      <c r="B9" s="19" t="n">
        <v>1</v>
      </c>
      <c r="C9" s="19" t="n">
        <v>1</v>
      </c>
      <c r="D9" s="19" t="s">
        <v>58</v>
      </c>
      <c r="E9" s="20" t="s">
        <v>69</v>
      </c>
      <c r="F9" s="20" t="s">
        <v>72</v>
      </c>
      <c r="G9" s="19" t="s">
        <v>17</v>
      </c>
      <c r="H9" s="20" t="str">
        <f aca="false">IF(G9="Cả nhóm","Cả nhóm",IFERROR(INDEX('Tổng quan'!$C$5:$C$7,MATCH(G9,'Tổng quan'!$B$5:$B$7,0)),""))</f>
        <v>Người 3</v>
      </c>
      <c r="I9" s="20"/>
      <c r="J9" s="20" t="s">
        <v>73</v>
      </c>
      <c r="K9" s="21" t="n">
        <f aca="false">'Tổng quan'!$E$11+(B9-1)*7</f>
        <v>46307</v>
      </c>
      <c r="L9" s="21" t="n">
        <f aca="false">'Tổng quan'!$E$11+(C9-1)*7+4</f>
        <v>46311</v>
      </c>
      <c r="M9" s="22" t="inlineStr">
        <is>
          <t>Đang làm</t>
        </is>
      </c>
      <c r="N9" s="23" t="n">
        <v>90</v>
      </c>
      <c r="O9" s="24" t="inlineStr">
        <is>
          <t>22/10: đã đăng ký CDS, chấp nhận giấy phép ERA5; yêu cầu đầu tiên chạy thành công (job 70c1b649…, xếp hàng 80 s, xử lý ~6,5 phút). Bronze có tháng 1/2024: era5_north_vietnam_hourly_202401.zip (3,8 MB, 2 file NetCDF: 6 biến tức thời + lượng mưa tp; 744 giờ; lưới 17×23 ô) kèm manifest. Chưa gửi 119 tháng còn lại của 2016–2025 (chờ bạn đồng ý)</t>
        </is>
      </c>
    </row>
    <row r="10" customFormat="false" ht="26.85" hidden="false" customHeight="false" outlineLevel="0" collapsed="false">
      <c r="A10" s="19" t="n">
        <v>6</v>
      </c>
      <c r="B10" s="19" t="n">
        <v>1</v>
      </c>
      <c r="C10" s="19" t="n">
        <v>1</v>
      </c>
      <c r="D10" s="19" t="s">
        <v>58</v>
      </c>
      <c r="E10" s="20" t="s">
        <v>74</v>
      </c>
      <c r="F10" s="20" t="s">
        <v>75</v>
      </c>
      <c r="G10" s="19" t="s">
        <v>20</v>
      </c>
      <c r="H10" s="20" t="str">
        <f aca="false">IF(G10="Cả nhóm","Cả nhóm",IFERROR(INDEX('Tổng quan'!$C$5:$C$7,MATCH(G10,'Tổng quan'!$B$5:$B$7,0)),""))</f>
        <v>Cả nhóm</v>
      </c>
      <c r="I10" s="20"/>
      <c r="J10" s="20" t="s">
        <v>76</v>
      </c>
      <c r="K10" s="21" t="n">
        <f aca="false">'Tổng quan'!$E$11+(B10-1)*7</f>
        <v>46307</v>
      </c>
      <c r="L10" s="21" t="n">
        <f aca="false">'Tổng quan'!$E$11+(C10-1)*7+4</f>
        <v>46311</v>
      </c>
      <c r="M10" s="22" t="inlineStr">
        <is>
          <t>Hoàn thành</t>
        </is>
      </c>
      <c r="N10" s="23" t="n">
        <v>100</v>
      </c>
      <c r="O10" s="24" t="inlineStr">
        <is>
          <t>Hoàn thành 21/10: data-contract.md v0.2 (cột/đơn vị/UTC/pressure_type/xử lý trùng/chọn trạm/báo cáo độ phủ). Nhóm xác nhận (qua N1/N2). Còn để mở có ghi rõ: ngưỡng độ phủ tối thiểu</t>
        </is>
      </c>
    </row>
    <row r="11" customFormat="false" ht="26.85" hidden="false" customHeight="false" outlineLevel="0" collapsed="false">
      <c r="A11" s="19" t="n">
        <v>7</v>
      </c>
      <c r="B11" s="19" t="n">
        <v>1</v>
      </c>
      <c r="C11" s="19" t="n">
        <v>1</v>
      </c>
      <c r="D11" s="19" t="s">
        <v>58</v>
      </c>
      <c r="E11" s="20" t="s">
        <v>74</v>
      </c>
      <c r="F11" s="20" t="s">
        <v>77</v>
      </c>
      <c r="G11" s="19" t="s">
        <v>20</v>
      </c>
      <c r="H11" s="20" t="str">
        <f aca="false">IF(G11="Cả nhóm","Cả nhóm",IFERROR(INDEX('Tổng quan'!$C$5:$C$7,MATCH(G11,'Tổng quan'!$B$5:$B$7,0)),""))</f>
        <v>Cả nhóm</v>
      </c>
      <c r="I11" s="20"/>
      <c r="J11" s="20" t="s">
        <v>78</v>
      </c>
      <c r="K11" s="21" t="n">
        <f aca="false">'Tổng quan'!$E$11+(B11-1)*7</f>
        <v>46307</v>
      </c>
      <c r="L11" s="21" t="n">
        <f aca="false">'Tổng quan'!$E$11+(C11-1)*7+4</f>
        <v>46311</v>
      </c>
      <c r="M11" s="22" t="inlineStr">
        <is>
          <t>Hoàn thành</t>
        </is>
      </c>
      <c r="N11" s="23" t="n">
        <v>100</v>
      </c>
      <c r="O11" s="24" t="inlineStr">
        <is>
          <t>Hoàn thành 21/10: rain-label.md v0.2: ngưỡng 1 mm, nguồn Open-Meteo, cửa sổ (t,t+24h] đã kiểm chứng, thiếu giờ thì bỏ nhãn. Tỷ lệ Yes 50,5% đo bằng bản v0.2; bản v0.2.1 (sửa lỗi cộng số thực 22/10): train 51,6% / val 50,1% / test 49,7%. Nhóm xác nhận qua N1/N2; N3 chưa duyệt. Còn mở có ghi rõ: fallback ERA5/trạm, ngưỡng độ phủ tối thiểu</t>
        </is>
      </c>
    </row>
    <row r="12" customFormat="false" ht="15" hidden="false" customHeight="false" outlineLevel="0" collapsed="false">
      <c r="A12" s="19" t="n">
        <v>8</v>
      </c>
      <c r="B12" s="19" t="n">
        <v>2</v>
      </c>
      <c r="C12" s="19" t="n">
        <v>3</v>
      </c>
      <c r="D12" s="19" t="s">
        <v>79</v>
      </c>
      <c r="E12" s="20" t="s">
        <v>69</v>
      </c>
      <c r="F12" s="20" t="s">
        <v>80</v>
      </c>
      <c r="G12" s="19" t="s">
        <v>11</v>
      </c>
      <c r="H12" s="20" t="str">
        <f aca="false">IF(G12="Cả nhóm","Cả nhóm",IFERROR(INDEX('Tổng quan'!$C$5:$C$7,MATCH(G12,'Tổng quan'!$B$5:$B$7,0)),""))</f>
        <v>Người 1</v>
      </c>
      <c r="I12" s="20"/>
      <c r="J12" s="20" t="s">
        <v>81</v>
      </c>
      <c r="K12" s="21" t="n">
        <f aca="false">'Tổng quan'!$E$11+(B12-1)*7</f>
        <v>46314</v>
      </c>
      <c r="L12" s="21" t="n">
        <f aca="false">'Tổng quan'!$E$11+(C12-1)*7+4</f>
        <v>46325</v>
      </c>
      <c r="M12" s="22" t="inlineStr">
        <is>
          <t>Đang làm</t>
        </is>
      </c>
      <c r="N12" s="23" t="n">
        <v>95</v>
      </c>
      <c r="O12" s="24" t="inlineStr">
        <is>
          <t>22/10: Bronze giữ nguyên payload gốc + manifest; tải lại 80/80 file (339 s, 0 lỗi), dữ liệu theo giờ giống hệt bản cũ; Silver 2024 giống từng dòng (70.272). Chạy lại: bỏ qua 80 file theo checksum. Lỗi thoát mã 1 (sửa 22/10). Tiêu chí «SHA bằng bản tải mới» không đạt được về nguyên tắc vì phản hồi có generationtime_ms; thay bằng so sánh dữ liệu theo giờ</t>
        </is>
      </c>
    </row>
    <row r="13" customFormat="false" ht="15" hidden="false" customHeight="false" outlineLevel="0" collapsed="false">
      <c r="A13" s="19" t="n">
        <v>9</v>
      </c>
      <c r="B13" s="19" t="n">
        <v>2</v>
      </c>
      <c r="C13" s="19" t="n">
        <v>3</v>
      </c>
      <c r="D13" s="19" t="s">
        <v>79</v>
      </c>
      <c r="E13" s="20" t="s">
        <v>69</v>
      </c>
      <c r="F13" s="20" t="s">
        <v>82</v>
      </c>
      <c r="G13" s="19" t="s">
        <v>11</v>
      </c>
      <c r="H13" s="20" t="str">
        <f aca="false">IF(G13="Cả nhóm","Cả nhóm",IFERROR(INDEX('Tổng quan'!$C$5:$C$7,MATCH(G13,'Tổng quan'!$B$5:$B$7,0)),""))</f>
        <v>Người 1</v>
      </c>
      <c r="I13" s="20"/>
      <c r="J13" s="20" t="s">
        <v>83</v>
      </c>
      <c r="K13" s="21" t="n">
        <f aca="false">'Tổng quan'!$E$11+(B13-1)*7</f>
        <v>46314</v>
      </c>
      <c r="L13" s="21" t="n">
        <f aca="false">'Tổng quan'!$E$11+(C13-1)*7+4</f>
        <v>46325</v>
      </c>
      <c r="M13" s="22" t="inlineStr">
        <is>
          <t>Đang làm</t>
        </is>
      </c>
      <c r="N13" s="23" t="n">
        <v>95</v>
      </c>
      <c r="O13" s="24" t="inlineStr">
        <is>
          <t>21/10: Meteostat chỉ giữ quan trắc thật (HAN). NOAA GHCNh mưa 24h cho 5 điểm (HPH, TNG, LCA, HAN≈Hà Đông, NBI≈Nam Định) 2016–2025: 17.866 ngày, độ phủ 95,9–99,2%, bảng fact_station_daily_rain + view so sánh với Open-Meteo. 22/10: trạm Meteostat 48820 thực chất là sân bay Nội Bài (cách điểm HAN 22 km), đã ghi lại; quy tắc cực trị so sánh theo độ phân giải 0,1 mm. Bronze Meteostat lưu CSV đã giải nén, chưa có manifest/SHA. Chờ nhóm duyệt quy tắc cực trị 300 mm</t>
        </is>
      </c>
    </row>
    <row r="14" customFormat="false" ht="26.85" hidden="false" customHeight="false" outlineLevel="0" collapsed="false">
      <c r="A14" s="19" t="n">
        <v>10</v>
      </c>
      <c r="B14" s="19" t="n">
        <v>2</v>
      </c>
      <c r="C14" s="19" t="n">
        <v>3</v>
      </c>
      <c r="D14" s="19" t="s">
        <v>79</v>
      </c>
      <c r="E14" s="20" t="s">
        <v>84</v>
      </c>
      <c r="F14" s="20" t="s">
        <v>85</v>
      </c>
      <c r="G14" s="19" t="s">
        <v>11</v>
      </c>
      <c r="H14" s="20" t="str">
        <f aca="false">IF(G14="Cả nhóm","Cả nhóm",IFERROR(INDEX('Tổng quan'!$C$5:$C$7,MATCH(G14,'Tổng quan'!$B$5:$B$7,0)),""))</f>
        <v>Người 1</v>
      </c>
      <c r="I14" s="20"/>
      <c r="J14" s="20" t="s">
        <v>86</v>
      </c>
      <c r="K14" s="21" t="n">
        <f aca="false">'Tổng quan'!$E$11+(B14-1)*7</f>
        <v>46314</v>
      </c>
      <c r="L14" s="21" t="n">
        <f aca="false">'Tổng quan'!$E$11+(C14-1)*7+4</f>
        <v>46325</v>
      </c>
      <c r="M14" s="22" t="inlineStr">
        <is>
          <t>Đang làm</t>
        </is>
      </c>
      <c r="N14" s="23" t="n">
        <v>90</v>
      </c>
      <c r="O14" s="24" t="inlineStr">
        <is>
          <t>21/10: Silver chạy lại: Open-Meteo 701.376 dòng; Meteostat 87.485 dòng sau khi loại 436.502 giá trị mô hình và 43.575 dòng không có quan trắc; 60 file Silver cũ đã xóa; 0 xung đột, 0 lỗi. 22/10: file Bronze Open-Meteo bị thiếu tính là lỗi (trừ khi có --allow-missing); Silver kiểm tra SHA-256 của Bronze theo manifest; chạy lại Silver 2024 giống từng dòng (70.272)</t>
        </is>
      </c>
    </row>
    <row r="15" customFormat="false" ht="26.85" hidden="false" customHeight="false" outlineLevel="0" collapsed="false">
      <c r="A15" s="19" t="n">
        <v>11</v>
      </c>
      <c r="B15" s="19" t="n">
        <v>2</v>
      </c>
      <c r="C15" s="19" t="n">
        <v>3</v>
      </c>
      <c r="D15" s="19" t="s">
        <v>79</v>
      </c>
      <c r="E15" s="20" t="s">
        <v>66</v>
      </c>
      <c r="F15" s="20" t="inlineStr">
        <is>
          <t>DimLocation (chỉ tỉnh trước sáp nhập; mô tả gốc "tỉnh cũ + tỉnh mới", đổi ngày 21/10/2026), DimStation, gán trạm theo khoảng cách bằng GeoPandas</t>
        </is>
      </c>
      <c r="G15" s="19" t="s">
        <v>14</v>
      </c>
      <c r="H15" s="20" t="str">
        <f aca="false">IF(G15="Cả nhóm","Cả nhóm",IFERROR(INDEX('Tổng quan'!$C$5:$C$7,MATCH(G15,'Tổng quan'!$B$5:$B$7,0)),""))</f>
        <v>Người 2</v>
      </c>
      <c r="I15" s="20"/>
      <c r="J15" s="20" t="s">
        <v>88</v>
      </c>
      <c r="K15" s="21" t="n">
        <f aca="false">'Tổng quan'!$E$11+(B15-1)*7</f>
        <v>46314</v>
      </c>
      <c r="L15" s="21" t="n">
        <f aca="false">'Tổng quan'!$E$11+(C15-1)*7+4</f>
        <v>46325</v>
      </c>
      <c r="M15" s="22" t="inlineStr">
        <is>
          <t>Đang làm</t>
        </is>
      </c>
      <c r="N15" s="23" t="n">
        <v>60</v>
      </c>
      <c r="O15" s="24" t="inlineStr">
        <is>
          <t>21/10: mã/tọa độ trạm đã xác minh (Meteostat + NOAA ISD). Hợp lệ: HAN 48820, HPH 48826, TNG 48831, LCA 48803; dim_station 12 trạm (thêm 48823 Nam Định cho mưa ngày). 22/10: 48820 = sân bay Nội Bài (22,0 km, vai trò nearest_available); thêm station_role, distance_km (sql/05). Khoảng cách tính bằng haversine, không dùng GeoPandas. Tỉnh: chỉ dùng tỉnh trước sáp nhập (đã chốt 21/10); 8 điểm đã kiểm tra nằm đúng tỉnh trên GeoJSON ID 4 (22/10)</t>
        </is>
      </c>
    </row>
    <row r="16" customFormat="false" ht="26.85" hidden="false" customHeight="false" outlineLevel="0" collapsed="false">
      <c r="A16" s="19" t="n">
        <v>12</v>
      </c>
      <c r="B16" s="19" t="n">
        <v>2</v>
      </c>
      <c r="C16" s="19" t="n">
        <v>3</v>
      </c>
      <c r="D16" s="19" t="s">
        <v>79</v>
      </c>
      <c r="E16" s="20" t="s">
        <v>66</v>
      </c>
      <c r="F16" s="20" t="s">
        <v>89</v>
      </c>
      <c r="G16" s="19" t="s">
        <v>14</v>
      </c>
      <c r="H16" s="20" t="str">
        <f aca="false">IF(G16="Cả nhóm","Cả nhóm",IFERROR(INDEX('Tổng quan'!$C$5:$C$7,MATCH(G16,'Tổng quan'!$B$5:$B$7,0)),""))</f>
        <v>Người 2</v>
      </c>
      <c r="I16" s="20"/>
      <c r="J16" s="20" t="s">
        <v>90</v>
      </c>
      <c r="K16" s="21" t="n">
        <f aca="false">'Tổng quan'!$E$11+(B16-1)*7</f>
        <v>46314</v>
      </c>
      <c r="L16" s="21" t="n">
        <f aca="false">'Tổng quan'!$E$11+(C16-1)*7+4</f>
        <v>46325</v>
      </c>
      <c r="M16" s="22" t="inlineStr">
        <is>
          <t>Đang làm</t>
        </is>
      </c>
      <c r="N16" s="23" t="n">
        <v>90</v>
      </c>
      <c r="O16" s="24" t="inlineStr">
        <is>
          <t>dim_date 4.018 ngày, seed chạy lại ổn. Cơ sở lịch UTC+7 đã chốt 21/10 (data-contract, warehouse-schema; nhóm xác nhận qua N1/N2)</t>
        </is>
      </c>
    </row>
    <row r="17" customFormat="false" ht="15" hidden="false" customHeight="false" outlineLevel="0" collapsed="false">
      <c r="A17" s="19" t="n">
        <v>13</v>
      </c>
      <c r="B17" s="19" t="n">
        <v>2</v>
      </c>
      <c r="C17" s="19" t="n">
        <v>3</v>
      </c>
      <c r="D17" s="19" t="s">
        <v>79</v>
      </c>
      <c r="E17" s="20" t="s">
        <v>66</v>
      </c>
      <c r="F17" s="20" t="s">
        <v>91</v>
      </c>
      <c r="G17" s="19" t="s">
        <v>14</v>
      </c>
      <c r="H17" s="20" t="str">
        <f aca="false">IF(G17="Cả nhóm","Cả nhóm",IFERROR(INDEX('Tổng quan'!$C$5:$C$7,MATCH(G17,'Tổng quan'!$B$5:$B$7,0)),""))</f>
        <v>Người 2</v>
      </c>
      <c r="I17" s="20"/>
      <c r="J17" s="20" t="s">
        <v>92</v>
      </c>
      <c r="K17" s="21" t="n">
        <f aca="false">'Tổng quan'!$E$11+(B17-1)*7</f>
        <v>46314</v>
      </c>
      <c r="L17" s="21" t="n">
        <f aca="false">'Tổng quan'!$E$11+(C17-1)*7+4</f>
        <v>46325</v>
      </c>
      <c r="M17" s="22" t="inlineStr">
        <is>
          <t>Đang làm</t>
        </is>
      </c>
      <c r="N17" s="23" t="n">
        <v>80</v>
      </c>
      <c r="O17" s="24" t="inlineStr">
        <is>
          <t>DDL chạy được trên Postgres; migration cho DB đã tồn tại: sql/02–05, chạy lại an toàn. 22/10: test tích hợp chạy đúng thứ tự khởi tạo thật (init + 02→05); sửa chú thích day_of_week (ISO) và period_of_day</t>
        </is>
      </c>
    </row>
    <row r="18" customFormat="false" ht="15" hidden="false" customHeight="false" outlineLevel="0" collapsed="false">
      <c r="A18" s="19" t="n">
        <v>14</v>
      </c>
      <c r="B18" s="19" t="n">
        <v>2</v>
      </c>
      <c r="C18" s="19" t="n">
        <v>3</v>
      </c>
      <c r="D18" s="19" t="s">
        <v>79</v>
      </c>
      <c r="E18" s="20" t="s">
        <v>69</v>
      </c>
      <c r="F18" s="20" t="s">
        <v>93</v>
      </c>
      <c r="G18" s="19" t="s">
        <v>17</v>
      </c>
      <c r="H18" s="20" t="str">
        <f aca="false">IF(G18="Cả nhóm","Cả nhóm",IFERROR(INDEX('Tổng quan'!$C$5:$C$7,MATCH(G18,'Tổng quan'!$B$5:$B$7,0)),""))</f>
        <v>Người 3</v>
      </c>
      <c r="I18" s="20"/>
      <c r="J18" s="20" t="s">
        <v>94</v>
      </c>
      <c r="K18" s="21" t="n">
        <f aca="false">'Tổng quan'!$E$11+(B18-1)*7</f>
        <v>46314</v>
      </c>
      <c r="L18" s="21" t="n">
        <f aca="false">'Tổng quan'!$E$11+(C18-1)*7+4</f>
        <v>46325</v>
      </c>
      <c r="M18" s="22" t="inlineStr">
        <is>
          <t>Đang làm</t>
        </is>
      </c>
      <c r="N18" s="23" t="n">
        <v>60</v>
      </c>
      <c r="O18" s="24" t="inlineStr">
        <is>
          <t>22/10: scripts/ingest_era5.py đọc NetCDF bằng xarray để kiểm tra (biến, số giờ, vùng) rồi lưu Bronze nguyên bản kèm manifest; đã chạy thật cho 2024-01 (khớp yêu cầu, chạy lại bỏ qua theo checksum). Còn lại: các tháng khác</t>
        </is>
      </c>
    </row>
    <row r="19" customFormat="false" ht="26.85" hidden="false" customHeight="false" outlineLevel="0" collapsed="false">
      <c r="A19" s="19" t="n">
        <v>15</v>
      </c>
      <c r="B19" s="19" t="n">
        <v>2</v>
      </c>
      <c r="C19" s="19" t="n">
        <v>3</v>
      </c>
      <c r="D19" s="19" t="s">
        <v>79</v>
      </c>
      <c r="E19" s="20" t="s">
        <v>84</v>
      </c>
      <c r="F19" s="20" t="s">
        <v>95</v>
      </c>
      <c r="G19" s="19" t="s">
        <v>17</v>
      </c>
      <c r="H19" s="20" t="str">
        <f aca="false">IF(G19="Cả nhóm","Cả nhóm",IFERROR(INDEX('Tổng quan'!$C$5:$C$7,MATCH(G19,'Tổng quan'!$B$5:$B$7,0)),""))</f>
        <v>Người 3</v>
      </c>
      <c r="I19" s="20"/>
      <c r="J19" s="20" t="s">
        <v>96</v>
      </c>
      <c r="K19" s="21" t="n">
        <f aca="false">'Tổng quan'!$E$11+(B19-1)*7</f>
        <v>46314</v>
      </c>
      <c r="L19" s="21" t="n">
        <f aca="false">'Tổng quan'!$E$11+(C19-1)*7+4</f>
        <v>46325</v>
      </c>
      <c r="M19" s="22" t="s">
        <v>62</v>
      </c>
      <c r="N19" s="23" t="n">
        <v>0</v>
      </c>
      <c r="O19" s="24"/>
    </row>
    <row r="20" customFormat="false" ht="15" hidden="false" customHeight="false" outlineLevel="0" collapsed="false">
      <c r="A20" s="19" t="n">
        <v>16</v>
      </c>
      <c r="B20" s="19" t="n">
        <v>4</v>
      </c>
      <c r="C20" s="19" t="n">
        <v>5</v>
      </c>
      <c r="D20" s="19" t="s">
        <v>97</v>
      </c>
      <c r="E20" s="20" t="s">
        <v>98</v>
      </c>
      <c r="F20" s="20" t="s">
        <v>99</v>
      </c>
      <c r="G20" s="19" t="s">
        <v>11</v>
      </c>
      <c r="H20" s="20" t="str">
        <f aca="false">IF(G20="Cả nhóm","Cả nhóm",IFERROR(INDEX('Tổng quan'!$C$5:$C$7,MATCH(G20,'Tổng quan'!$B$5:$B$7,0)),""))</f>
        <v>Người 1</v>
      </c>
      <c r="I20" s="20"/>
      <c r="J20" s="20" t="s">
        <v>100</v>
      </c>
      <c r="K20" s="21" t="n">
        <f aca="false">'Tổng quan'!$E$11+(B20-1)*7</f>
        <v>46328</v>
      </c>
      <c r="L20" s="21" t="n">
        <f aca="false">'Tổng quan'!$E$11+(C20-1)*7+4</f>
        <v>46339</v>
      </c>
      <c r="M20" s="22" t="inlineStr">
        <is>
          <t>Đang làm</t>
        </is>
      </c>
      <c r="N20" s="23" t="n">
        <v>80</v>
      </c>
      <c r="O20" s="24" t="inlineStr">
        <is>
          <t>21/10: Gold 2016–2025 nạp lại trên máy N1/N2, 120 tháng, 0 lỗi: 832.436 dòng (233 s) trước khi lọc Meteostat, sau đó 788.861 dòng (292 s). 22/10: nạp lại toàn bộ 2016–2025 (176 s, 0 lỗi, DW không đổi): cả 120 file Gold lưu station_key dạng số nguyên. Bộ đặc trưng ML nằm ở gold/ml_features (ID 23); chưa có bảng pivot đa nguồn</t>
        </is>
      </c>
    </row>
    <row r="21" customFormat="false" ht="26.85" hidden="false" customHeight="false" outlineLevel="0" collapsed="false">
      <c r="A21" s="19" t="n">
        <v>17</v>
      </c>
      <c r="B21" s="19" t="n">
        <v>4</v>
      </c>
      <c r="C21" s="19" t="n">
        <v>5</v>
      </c>
      <c r="D21" s="19" t="s">
        <v>97</v>
      </c>
      <c r="E21" s="20" t="s">
        <v>101</v>
      </c>
      <c r="F21" s="20" t="s">
        <v>102</v>
      </c>
      <c r="G21" s="19" t="s">
        <v>11</v>
      </c>
      <c r="H21" s="20" t="str">
        <f aca="false">IF(G21="Cả nhóm","Cả nhóm",IFERROR(INDEX('Tổng quan'!$C$5:$C$7,MATCH(G21,'Tổng quan'!$B$5:$B$7,0)),""))</f>
        <v>Người 1</v>
      </c>
      <c r="I21" s="20" t="s">
        <v>14</v>
      </c>
      <c r="J21" s="20" t="s">
        <v>103</v>
      </c>
      <c r="K21" s="21" t="n">
        <f aca="false">'Tổng quan'!$E$11+(B21-1)*7</f>
        <v>46328</v>
      </c>
      <c r="L21" s="21" t="n">
        <f aca="false">'Tổng quan'!$E$11+(C21-1)*7+4</f>
        <v>46339</v>
      </c>
      <c r="M21" s="22" t="inlineStr">
        <is>
          <t>Đang làm</t>
        </is>
      </c>
      <c r="N21" s="23" t="n">
        <v>95</v>
      </c>
      <c r="O21" s="24" t="inlineStr">
        <is>
          <t>22/10: dags/dag_weather_pipeline.py (weather_bronze_to_dw_dag): Open-Meteo, Meteostat, mưa ngày GHCNh: tải → Silver → seed dim → Gold/DW → đối chiếu DW với Silver (scripts/reconcile_dw.py). Tham số năm 2016–2025 và điểm; chạy tay, 1 lượt một lúc. Đã chạy: 2024 HAN, chạy lại không thêm dòng, cố ý tắt MinIO rồi chạy tiếp thành công, 2024 cả 8 điểm, và cả 2016–2025 (3 phút 43 giây; khớp 788.861 dòng giờ và 17.866 ngày mưa; không tải lại gì). Cửa sổ nhỏ nhất 1 năm × 1 điểm (đã chốt). Chờ bạn xác nhận Hoàn thành</t>
        </is>
      </c>
    </row>
    <row r="22" customFormat="false" ht="15" hidden="false" customHeight="false" outlineLevel="0" collapsed="false">
      <c r="A22" s="19" t="n">
        <v>18</v>
      </c>
      <c r="B22" s="19" t="n">
        <v>4</v>
      </c>
      <c r="C22" s="19" t="n">
        <v>5</v>
      </c>
      <c r="D22" s="19" t="s">
        <v>97</v>
      </c>
      <c r="E22" s="20" t="s">
        <v>66</v>
      </c>
      <c r="F22" s="20" t="s">
        <v>104</v>
      </c>
      <c r="G22" s="19" t="s">
        <v>14</v>
      </c>
      <c r="H22" s="20" t="str">
        <f aca="false">IF(G22="Cả nhóm","Cả nhóm",IFERROR(INDEX('Tổng quan'!$C$5:$C$7,MATCH(G22,'Tổng quan'!$B$5:$B$7,0)),""))</f>
        <v>Người 2</v>
      </c>
      <c r="I22" s="20"/>
      <c r="J22" s="20" t="s">
        <v>105</v>
      </c>
      <c r="K22" s="21" t="n">
        <f aca="false">'Tổng quan'!$E$11+(B22-1)*7</f>
        <v>46328</v>
      </c>
      <c r="L22" s="21" t="n">
        <f aca="false">'Tổng quan'!$E$11+(C22-1)*7+4</f>
        <v>46339</v>
      </c>
      <c r="M22" s="22" t="inlineStr">
        <is>
          <t>Đang làm</t>
        </is>
      </c>
      <c r="N22" s="23" t="n">
        <v>95</v>
      </c>
      <c r="O22" s="24" t="inlineStr">
        <is>
          <t>21/10: DW sạch: 788.861 dòng (Open-Meteo 701.376 + Meteostat HAN 87.485), 0 trùng khóa; rút dòng sai đã kiểm chứng trên dữ liệu thật; lần nạp cuối 292 s (bản trước ghi 3.493 s là sai). 22/10: phạm vi xóa khi nạp lại tính theo phạm vi yêu cầu (nguồn biến mất bị xóa; thiếu file Silver Open-Meteo của một vị trí thì tháng đó báo lỗi); thêm pressure_type (sql/05). Chạy lại 2024 trên trạng thái hiện tại: 79.039 dòng, không đổi. Bản 994.145 dòng trên máy bacnx đã lỗi thời</t>
        </is>
      </c>
    </row>
    <row r="23" customFormat="false" ht="26.85" hidden="false" customHeight="false" outlineLevel="0" collapsed="false">
      <c r="A23" s="19" t="n">
        <v>19</v>
      </c>
      <c r="B23" s="19" t="n">
        <v>4</v>
      </c>
      <c r="C23" s="19" t="n">
        <v>5</v>
      </c>
      <c r="D23" s="19" t="s">
        <v>97</v>
      </c>
      <c r="E23" s="20" t="s">
        <v>106</v>
      </c>
      <c r="F23" s="20" t="s">
        <v>107</v>
      </c>
      <c r="G23" s="19" t="s">
        <v>14</v>
      </c>
      <c r="H23" s="20" t="str">
        <f aca="false">IF(G23="Cả nhóm","Cả nhóm",IFERROR(INDEX('Tổng quan'!$C$5:$C$7,MATCH(G23,'Tổng quan'!$B$5:$B$7,0)),""))</f>
        <v>Người 2</v>
      </c>
      <c r="I23" s="20"/>
      <c r="J23" s="20" t="s">
        <v>108</v>
      </c>
      <c r="K23" s="21" t="n">
        <f aca="false">'Tổng quan'!$E$11+(B23-1)*7</f>
        <v>46328</v>
      </c>
      <c r="L23" s="21" t="n">
        <f aca="false">'Tổng quan'!$E$11+(C23-1)*7+4</f>
        <v>46339</v>
      </c>
      <c r="M23" s="22" t="inlineStr">
        <is>
          <t>Đang làm</t>
        </is>
      </c>
      <c r="N23" s="23" t="n">
        <v>90</v>
      </c>
      <c r="O23" s="24" t="inlineStr">
        <is>
          <t>21/10: sql/02_olap_views.sql (6 view giờ/ngày/tháng/năm/độ phủ), ngày mưa ≥1 mm, ngày nóng ≥35 °C; đối soát giờ→ngày→tháng→năm khớp 0 chênh trên 788.861 dòng; 3 test tích hợp. Chưa dùng trong Power BI</t>
        </is>
      </c>
    </row>
    <row r="24" customFormat="false" ht="15" hidden="false" customHeight="false" outlineLevel="0" collapsed="false">
      <c r="A24" s="19" t="n">
        <v>20</v>
      </c>
      <c r="B24" s="19" t="n">
        <v>4</v>
      </c>
      <c r="C24" s="19" t="n">
        <v>5</v>
      </c>
      <c r="D24" s="19" t="s">
        <v>97</v>
      </c>
      <c r="E24" s="20" t="s">
        <v>109</v>
      </c>
      <c r="F24" s="20" t="s">
        <v>110</v>
      </c>
      <c r="G24" s="19" t="s">
        <v>14</v>
      </c>
      <c r="H24" s="20" t="str">
        <f aca="false">IF(G24="Cả nhóm","Cả nhóm",IFERROR(INDEX('Tổng quan'!$C$5:$C$7,MATCH(G24,'Tổng quan'!$B$5:$B$7,0)),""))</f>
        <v>Người 2</v>
      </c>
      <c r="I24" s="20"/>
      <c r="J24" s="20" t="s">
        <v>111</v>
      </c>
      <c r="K24" s="21" t="n">
        <f aca="false">'Tổng quan'!$E$11+(B24-1)*7</f>
        <v>46328</v>
      </c>
      <c r="L24" s="21" t="n">
        <f aca="false">'Tổng quan'!$E$11+(C24-1)*7+4</f>
        <v>46339</v>
      </c>
      <c r="M24" s="22" t="inlineStr">
        <is>
          <t>Đang làm</t>
        </is>
      </c>
      <c r="N24" s="23" t="n">
        <v>30</v>
      </c>
      <c r="O24" s="24" t="inlineStr">
        <is>
          <t>21/10: có hướng dẫn dựng (docs/powerbi-dashboard-v1.md): mô hình, DAX, 5 trang, bảng số đối chiếu. 22/10: sửa DAX đếm ngày mưa/nóng (trả 0 thay vì trống; trước đó trung bình theo vị trí bị lệch, vd tháng 3/2024 ra 1,33 thay vì 0,50). Chưa có file .pbix (cần máy Windows), chưa kiểm tra trong Power BI</t>
        </is>
      </c>
    </row>
    <row r="25" customFormat="false" ht="15" hidden="false" customHeight="false" outlineLevel="0" collapsed="false">
      <c r="A25" s="19" t="n">
        <v>21</v>
      </c>
      <c r="B25" s="19" t="n">
        <v>4</v>
      </c>
      <c r="C25" s="19" t="n">
        <v>5</v>
      </c>
      <c r="D25" s="19" t="s">
        <v>97</v>
      </c>
      <c r="E25" s="20" t="s">
        <v>112</v>
      </c>
      <c r="F25" s="20" t="s">
        <v>113</v>
      </c>
      <c r="G25" s="19" t="s">
        <v>17</v>
      </c>
      <c r="H25" s="20" t="str">
        <f aca="false">IF(G25="Cả nhóm","Cả nhóm",IFERROR(INDEX('Tổng quan'!$C$5:$C$7,MATCH(G25,'Tổng quan'!$B$5:$B$7,0)),""))</f>
        <v>Người 3</v>
      </c>
      <c r="I25" s="20"/>
      <c r="J25" s="20" t="s">
        <v>114</v>
      </c>
      <c r="K25" s="21" t="n">
        <f aca="false">'Tổng quan'!$E$11+(B25-1)*7</f>
        <v>46328</v>
      </c>
      <c r="L25" s="21" t="n">
        <f aca="false">'Tổng quan'!$E$11+(C25-1)*7+4</f>
        <v>46339</v>
      </c>
      <c r="M25" s="22" t="inlineStr">
        <is>
          <t>Đang làm</t>
        </is>
      </c>
      <c r="N25" s="23" t="n">
        <v>90</v>
      </c>
      <c r="O25" s="24" t="inlineStr">
        <is>
          <t>22/10: notebooks/eda_rain_next24h.ipynb (nhãn đã sửa), chỉ dùng train để chọn biến: mùa vụ mạnh theo tháng giờ Việt Nam (T8 78,6%, T12 26,5%; bản trước dùng tháng UTC), giờ trong ngày gần như không ảnh hưởng (51,3-52,0%), biến tách tốt nhất: điểm sương, mưa 24h trước, độ ẩm. Thêm bảng tương quan Spearman: cặp mạnh độ ẩm–chênh điểm sương (-1,00), nhiệt độ–điểm sương (0,87), điểm sương–áp suất (-0,80). Logic trong scripts/rain_eda.py có test. Do N1/N2 làm thay N3</t>
        </is>
      </c>
    </row>
    <row r="26" customFormat="false" ht="15" hidden="false" customHeight="false" outlineLevel="0" collapsed="false">
      <c r="A26" s="19" t="n">
        <v>22</v>
      </c>
      <c r="B26" s="19" t="n">
        <v>4</v>
      </c>
      <c r="C26" s="19" t="n">
        <v>5</v>
      </c>
      <c r="D26" s="19" t="s">
        <v>97</v>
      </c>
      <c r="E26" s="20" t="s">
        <v>112</v>
      </c>
      <c r="F26" s="20" t="s">
        <v>115</v>
      </c>
      <c r="G26" s="19" t="s">
        <v>17</v>
      </c>
      <c r="H26" s="20" t="str">
        <f aca="false">IF(G26="Cả nhóm","Cả nhóm",IFERROR(INDEX('Tổng quan'!$C$5:$C$7,MATCH(G26,'Tổng quan'!$B$5:$B$7,0)),""))</f>
        <v>Người 3</v>
      </c>
      <c r="I26" s="20"/>
      <c r="J26" s="20" t="s">
        <v>116</v>
      </c>
      <c r="K26" s="21" t="n">
        <f aca="false">'Tổng quan'!$E$11+(B26-1)*7</f>
        <v>46328</v>
      </c>
      <c r="L26" s="21" t="n">
        <f aca="false">'Tổng quan'!$E$11+(C26-1)*7+4</f>
        <v>46339</v>
      </c>
      <c r="M26" s="22" t="inlineStr">
        <is>
          <t>Đang làm</t>
        </is>
      </c>
      <c r="N26" s="23" t="n">
        <v>95</v>
      </c>
      <c r="O26" s="24" t="inlineStr">
        <is>
          <t>22/10: nhãn v2 (rain_next24h_v0.2.1) gold/ml_labels/rain_next24h_labels_v2.parquet: 700.800 nhãn dùng được, Yes 51,6% / 50,1% / 49,7% (train/val/test), 576 loại ở ranh giới. Đã sửa lỗi cộng số thực: bản v1 gán Không mưa cho 5.147 cửa sổ đúng 1,0 mm (0,73%); phát hiện nhờ đối chiếu DW ở ID 31. Có test hồi quy. Do N1/N2 làm thay N3</t>
        </is>
      </c>
    </row>
    <row r="27" customFormat="false" ht="26.85" hidden="false" customHeight="false" outlineLevel="0" collapsed="false">
      <c r="A27" s="19" t="n">
        <v>23</v>
      </c>
      <c r="B27" s="19" t="n">
        <v>4</v>
      </c>
      <c r="C27" s="19" t="n">
        <v>5</v>
      </c>
      <c r="D27" s="19" t="s">
        <v>97</v>
      </c>
      <c r="E27" s="20" t="s">
        <v>112</v>
      </c>
      <c r="F27" s="20" t="s">
        <v>117</v>
      </c>
      <c r="G27" s="19" t="s">
        <v>17</v>
      </c>
      <c r="H27" s="20" t="str">
        <f aca="false">IF(G27="Cả nhóm","Cả nhóm",IFERROR(INDEX('Tổng quan'!$C$5:$C$7,MATCH(G27,'Tổng quan'!$B$5:$B$7,0)),""))</f>
        <v>Người 3</v>
      </c>
      <c r="I27" s="20"/>
      <c r="J27" s="20" t="s">
        <v>118</v>
      </c>
      <c r="K27" s="21" t="n">
        <f aca="false">'Tổng quan'!$E$11+(B27-1)*7</f>
        <v>46328</v>
      </c>
      <c r="L27" s="21" t="n">
        <f aca="false">'Tổng quan'!$E$11+(C27-1)*7+4</f>
        <v>46339</v>
      </c>
      <c r="M27" s="22" t="inlineStr">
        <is>
          <t>Đang làm</t>
        </is>
      </c>
      <c r="N27" s="23" t="n">
        <v>90</v>
      </c>
      <c r="O27" s="24" t="inlineStr">
        <is>
          <t>22/10: đặc trưng v2 gold/ml_features/cart_rain_{train_2016_2023,val_2024,test_2025}_v2.parquet + manifest (nhãn v0.2.1, tổng mưa làm tròn); v1 giữ cho model v1. 22 đặc trưng chỉ từ Open-Meteo, 700.800 dòng; thiếu chỉ ở 24 giờ đầu 2016. Test chống rò rỉ, thiếu giờ, không lẫn vị trí. Do N1/N2 làm thay N3</t>
        </is>
      </c>
    </row>
    <row r="28" customFormat="false" ht="26.85" hidden="false" customHeight="false" outlineLevel="0" collapsed="false">
      <c r="A28" s="19" t="n">
        <v>24</v>
      </c>
      <c r="B28" s="19" t="n">
        <v>6</v>
      </c>
      <c r="C28" s="19" t="n">
        <v>7</v>
      </c>
      <c r="D28" s="19" t="s">
        <v>119</v>
      </c>
      <c r="E28" s="20" t="s">
        <v>120</v>
      </c>
      <c r="F28" s="20" t="s">
        <v>121</v>
      </c>
      <c r="G28" s="19" t="s">
        <v>11</v>
      </c>
      <c r="H28" s="20" t="str">
        <f aca="false">IF(G28="Cả nhóm","Cả nhóm",IFERROR(INDEX('Tổng quan'!$C$5:$C$7,MATCH(G28,'Tổng quan'!$B$5:$B$7,0)),""))</f>
        <v>Người 1</v>
      </c>
      <c r="I28" s="20"/>
      <c r="J28" s="20" t="s">
        <v>122</v>
      </c>
      <c r="K28" s="21" t="n">
        <f aca="false">'Tổng quan'!$E$11+(B28-1)*7</f>
        <v>46342</v>
      </c>
      <c r="L28" s="21" t="n">
        <f aca="false">'Tổng quan'!$E$11+(C28-1)*7+4</f>
        <v>46353</v>
      </c>
      <c r="M28" s="22" t="s">
        <v>62</v>
      </c>
      <c r="N28" s="23" t="n">
        <v>0</v>
      </c>
      <c r="O28" s="24"/>
    </row>
    <row r="29" customFormat="false" ht="15" hidden="false" customHeight="false" outlineLevel="0" collapsed="false">
      <c r="A29" s="19" t="n">
        <v>25</v>
      </c>
      <c r="B29" s="19" t="n">
        <v>6</v>
      </c>
      <c r="C29" s="19" t="n">
        <v>7</v>
      </c>
      <c r="D29" s="19" t="s">
        <v>119</v>
      </c>
      <c r="E29" s="20" t="s">
        <v>101</v>
      </c>
      <c r="F29" s="20" t="s">
        <v>123</v>
      </c>
      <c r="G29" s="19" t="s">
        <v>11</v>
      </c>
      <c r="H29" s="20" t="str">
        <f aca="false">IF(G29="Cả nhóm","Cả nhóm",IFERROR(INDEX('Tổng quan'!$C$5:$C$7,MATCH(G29,'Tổng quan'!$B$5:$B$7,0)),""))</f>
        <v>Người 1</v>
      </c>
      <c r="I29" s="20"/>
      <c r="J29" s="20" t="s">
        <v>124</v>
      </c>
      <c r="K29" s="21" t="n">
        <f aca="false">'Tổng quan'!$E$11+(B29-1)*7</f>
        <v>46342</v>
      </c>
      <c r="L29" s="21" t="n">
        <f aca="false">'Tổng quan'!$E$11+(C29-1)*7+4</f>
        <v>46353</v>
      </c>
      <c r="M29" s="22" t="s">
        <v>62</v>
      </c>
      <c r="N29" s="23" t="n">
        <v>0</v>
      </c>
      <c r="O29" s="24"/>
    </row>
    <row r="30" customFormat="false" ht="26.85" hidden="false" customHeight="false" outlineLevel="0" collapsed="false">
      <c r="A30" s="19" t="n">
        <v>26</v>
      </c>
      <c r="B30" s="19" t="n">
        <v>6</v>
      </c>
      <c r="C30" s="19" t="n">
        <v>7</v>
      </c>
      <c r="D30" s="19" t="s">
        <v>119</v>
      </c>
      <c r="E30" s="20" t="s">
        <v>66</v>
      </c>
      <c r="F30" s="20" t="s">
        <v>125</v>
      </c>
      <c r="G30" s="19" t="s">
        <v>11</v>
      </c>
      <c r="H30" s="20" t="str">
        <f aca="false">IF(G30="Cả nhóm","Cả nhóm",IFERROR(INDEX('Tổng quan'!$C$5:$C$7,MATCH(G30,'Tổng quan'!$B$5:$B$7,0)),""))</f>
        <v>Người 1</v>
      </c>
      <c r="I30" s="20" t="s">
        <v>14</v>
      </c>
      <c r="J30" s="20" t="s">
        <v>126</v>
      </c>
      <c r="K30" s="21" t="n">
        <f aca="false">'Tổng quan'!$E$11+(B30-1)*7</f>
        <v>46342</v>
      </c>
      <c r="L30" s="21" t="n">
        <f aca="false">'Tổng quan'!$E$11+(C30-1)*7+4</f>
        <v>46353</v>
      </c>
      <c r="M30" s="22" t="s">
        <v>62</v>
      </c>
      <c r="N30" s="23" t="n">
        <v>0</v>
      </c>
      <c r="O30" s="24"/>
    </row>
    <row r="31" customFormat="false" ht="26.85" hidden="false" customHeight="false" outlineLevel="0" collapsed="false">
      <c r="A31" s="19" t="n">
        <v>27</v>
      </c>
      <c r="B31" s="19" t="n">
        <v>6</v>
      </c>
      <c r="C31" s="19" t="n">
        <v>7</v>
      </c>
      <c r="D31" s="19" t="s">
        <v>119</v>
      </c>
      <c r="E31" s="20" t="s">
        <v>109</v>
      </c>
      <c r="F31" s="20" t="s">
        <v>127</v>
      </c>
      <c r="G31" s="19" t="s">
        <v>14</v>
      </c>
      <c r="H31" s="20" t="str">
        <f aca="false">IF(G31="Cả nhóm","Cả nhóm",IFERROR(INDEX('Tổng quan'!$C$5:$C$7,MATCH(G31,'Tổng quan'!$B$5:$B$7,0)),""))</f>
        <v>Người 2</v>
      </c>
      <c r="I31" s="20"/>
      <c r="J31" s="20" t="s">
        <v>128</v>
      </c>
      <c r="K31" s="21" t="n">
        <f aca="false">'Tổng quan'!$E$11+(B31-1)*7</f>
        <v>46342</v>
      </c>
      <c r="L31" s="21" t="n">
        <f aca="false">'Tổng quan'!$E$11+(C31-1)*7+4</f>
        <v>46353</v>
      </c>
      <c r="M31" s="22" t="s">
        <v>62</v>
      </c>
      <c r="N31" s="23" t="n">
        <v>0</v>
      </c>
      <c r="O31" s="24"/>
    </row>
    <row r="32" customFormat="false" ht="26.85" hidden="false" customHeight="false" outlineLevel="0" collapsed="false">
      <c r="A32" s="19" t="n">
        <v>28</v>
      </c>
      <c r="B32" s="19" t="n">
        <v>6</v>
      </c>
      <c r="C32" s="19" t="n">
        <v>7</v>
      </c>
      <c r="D32" s="19" t="s">
        <v>119</v>
      </c>
      <c r="E32" s="20" t="s">
        <v>112</v>
      </c>
      <c r="F32" s="20" t="s">
        <v>129</v>
      </c>
      <c r="G32" s="19" t="s">
        <v>17</v>
      </c>
      <c r="H32" s="20" t="str">
        <f aca="false">IF(G32="Cả nhóm","Cả nhóm",IFERROR(INDEX('Tổng quan'!$C$5:$C$7,MATCH(G32,'Tổng quan'!$B$5:$B$7,0)),""))</f>
        <v>Người 3</v>
      </c>
      <c r="I32" s="20"/>
      <c r="J32" s="20" t="s">
        <v>130</v>
      </c>
      <c r="K32" s="21" t="n">
        <f aca="false">'Tổng quan'!$E$11+(B32-1)*7</f>
        <v>46342</v>
      </c>
      <c r="L32" s="21" t="n">
        <f aca="false">'Tổng quan'!$E$11+(C32-1)*7+4</f>
        <v>46353</v>
      </c>
      <c r="M32" s="22" t="inlineStr">
        <is>
          <t>Đang làm</t>
        </is>
      </c>
      <c r="N32" s="23" t="n">
        <v>90</v>
      </c>
      <c r="O32" s="24" t="inlineStr">
        <is>
          <t>21/10: gold/ml_models/cart_rain_next24h_v1 (model.joblib + report.json). Lưới 120 cấu hình, chọn trên validation 2024: max_depth=8, min_samples_leaf=50, class_weight=balanced, ccp_alpha=1e-4, 88 lá, ngưỡng 0,40. Validation (nhãn đã sửa 22/10): Precision 0,760 / Recall 0,819 / F1 0,789. Model train trên nhãn v1 (0,73% sai), không train lại để giữ test độc lập. 22/10: chặn ghi đè model (model đã chấm test thì không cho ghi đè). Chọn cấu hình và ngưỡng theo F1, chưa có quy tắc ưu tiên Recall (đề xuất chờ duyệt). Do N1/N2 làm thay N3</t>
        </is>
      </c>
    </row>
    <row r="33" customFormat="false" ht="26.85" hidden="false" customHeight="false" outlineLevel="0" collapsed="false">
      <c r="A33" s="19" t="n">
        <v>29</v>
      </c>
      <c r="B33" s="19" t="n">
        <v>6</v>
      </c>
      <c r="C33" s="19" t="n">
        <v>7</v>
      </c>
      <c r="D33" s="19" t="s">
        <v>119</v>
      </c>
      <c r="E33" s="20" t="s">
        <v>131</v>
      </c>
      <c r="F33" s="20" t="s">
        <v>132</v>
      </c>
      <c r="G33" s="19" t="s">
        <v>17</v>
      </c>
      <c r="H33" s="20" t="str">
        <f aca="false">IF(G33="Cả nhóm","Cả nhóm",IFERROR(INDEX('Tổng quan'!$C$5:$C$7,MATCH(G33,'Tổng quan'!$B$5:$B$7,0)),""))</f>
        <v>Người 3</v>
      </c>
      <c r="I33" s="20"/>
      <c r="J33" s="20" t="s">
        <v>133</v>
      </c>
      <c r="K33" s="21" t="n">
        <f aca="false">'Tổng quan'!$E$11+(B33-1)*7</f>
        <v>46342</v>
      </c>
      <c r="L33" s="21" t="n">
        <f aca="false">'Tổng quan'!$E$11+(C33-1)*7+4</f>
        <v>46353</v>
      </c>
      <c r="M33" s="22" t="inlineStr">
        <is>
          <t>Đang làm</t>
        </is>
      </c>
      <c r="N33" s="23" t="n">
        <v>90</v>
      </c>
      <c r="O33" s="24" t="inlineStr">
        <is>
          <t>22/10: đánh giá 1 lần trên test 2025, model + ngưỡng 0,40 chốt từ validation. Chấm lại với nhãn đã sửa (dự đoán giữ nguyên, kiểm SHA-256 model): TP 27.467 / FP 8.569 / TN 26.617 / FN 7.235; Accuracy 0,774, Precision 0,762, Recall 0,792, F1 0,777 (dự báo theo hiện trạng F1 0,729). Mùa mưa F1 0,836, mùa khô 0,624. Khớp hoàn toàn với view DW. test_predictions.parquet giữ nhãn cũ v0.2: phân tích lấy nhãn từ đặc trưng v2. Do N1/N2 làm thay N3</t>
        </is>
      </c>
    </row>
    <row r="34" customFormat="false" ht="15" hidden="false" customHeight="false" outlineLevel="0" collapsed="false">
      <c r="A34" s="19" t="n">
        <v>30</v>
      </c>
      <c r="B34" s="19" t="n">
        <v>6</v>
      </c>
      <c r="C34" s="19" t="n">
        <v>7</v>
      </c>
      <c r="D34" s="19" t="s">
        <v>119</v>
      </c>
      <c r="E34" s="20" t="s">
        <v>112</v>
      </c>
      <c r="F34" s="20" t="s">
        <v>134</v>
      </c>
      <c r="G34" s="19" t="s">
        <v>17</v>
      </c>
      <c r="H34" s="20" t="str">
        <f aca="false">IF(G34="Cả nhóm","Cả nhóm",IFERROR(INDEX('Tổng quan'!$C$5:$C$7,MATCH(G34,'Tổng quan'!$B$5:$B$7,0)),""))</f>
        <v>Người 3</v>
      </c>
      <c r="I34" s="20"/>
      <c r="J34" s="20" t="s">
        <v>135</v>
      </c>
      <c r="K34" s="21" t="n">
        <f aca="false">'Tổng quan'!$E$11+(B34-1)*7</f>
        <v>46342</v>
      </c>
      <c r="L34" s="21" t="n">
        <f aca="false">'Tổng quan'!$E$11+(C34-1)*7+4</f>
        <v>46353</v>
      </c>
      <c r="M34" s="22" t="inlineStr">
        <is>
          <t>Đang làm</t>
        </is>
      </c>
      <c r="N34" s="23" t="n">
        <v>90</v>
      </c>
      <c r="O34" s="24" t="inlineStr">
        <is>
          <t>22/10: notebooks/cart_tree_rules.ipynb (SHA-256 đúng model ID 29): hình 3 tầng đầu, 88 luật bằng tên + đơn vị thật, độ quan trọng, 4 ví dụ test 2025, hồ sơ ca bỏ sót trên validation (nhãn đã sửa): 65% dưới 5 mm, 55% xác suất 0,30-0,40, mưa sau 24h khô chỉ bắt được 17% (mùa khô 2,5%). Đã sửa lời diễn giải «mưa không báo trước». Ý tưởng thêm hướng gió đến từ một ví dụ test 2025: phải chứng minh bằng EDA trên train trước. Do N1/N2 làm thay N3</t>
        </is>
      </c>
    </row>
    <row r="35" customFormat="false" ht="26.85" hidden="false" customHeight="false" outlineLevel="0" collapsed="false">
      <c r="A35" s="19" t="n">
        <v>31</v>
      </c>
      <c r="B35" s="19" t="n">
        <v>8</v>
      </c>
      <c r="C35" s="19" t="n">
        <v>8</v>
      </c>
      <c r="D35" s="19" t="s">
        <v>136</v>
      </c>
      <c r="E35" s="20" t="s">
        <v>137</v>
      </c>
      <c r="F35" s="20" t="s">
        <v>138</v>
      </c>
      <c r="G35" s="19" t="s">
        <v>17</v>
      </c>
      <c r="H35" s="20" t="str">
        <f aca="false">IF(G35="Cả nhóm","Cả nhóm",IFERROR(INDEX('Tổng quan'!$C$5:$C$7,MATCH(G35,'Tổng quan'!$B$5:$B$7,0)),""))</f>
        <v>Người 3</v>
      </c>
      <c r="I35" s="20" t="s">
        <v>14</v>
      </c>
      <c r="J35" s="20" t="s">
        <v>139</v>
      </c>
      <c r="K35" s="21" t="n">
        <f aca="false">'Tổng quan'!$E$11+(B35-1)*7</f>
        <v>46356</v>
      </c>
      <c r="L35" s="21" t="n">
        <f aca="false">'Tổng quan'!$E$11+(C35-1)*7+4</f>
        <v>46360</v>
      </c>
      <c r="M35" s="22" t="inlineStr">
        <is>
          <t>Đang làm</t>
        </is>
      </c>
      <c r="N35" s="23" t="n">
        <v>90</v>
      </c>
      <c r="O35" s="24" t="inlineStr">
        <is>
          <t>22/10: sql/04_predictions.sql (dim_model, khóa duy nhất model × vị trí × origin UTC, cửa sổ mục tiêu, view vw_prediction_vs_actual) + scripts/load_predictions.py. Đã nạp 69.888 dự đoán test 2025, chạy lại không trùng. View đối chiếu đã phát hiện lỗi nhãn ID 22 (đã sửa); ma trận nhầm lẫn DW = kết quả chấm lại. sql/05: dim_model ghi rõ nhãn của từng chỉ số (chọn trên v0.2, F1 val 0,786; test trên v0.2.1, F1 val trên nhãn này 0,789). Do N1/N2 làm thay N3</t>
        </is>
      </c>
    </row>
    <row r="36" customFormat="false" ht="15" hidden="false" customHeight="false" outlineLevel="0" collapsed="false">
      <c r="A36" s="19" t="n">
        <v>32</v>
      </c>
      <c r="B36" s="19" t="n">
        <v>8</v>
      </c>
      <c r="C36" s="19" t="n">
        <v>8</v>
      </c>
      <c r="D36" s="19" t="s">
        <v>136</v>
      </c>
      <c r="E36" s="20" t="s">
        <v>101</v>
      </c>
      <c r="F36" s="20" t="s">
        <v>140</v>
      </c>
      <c r="G36" s="19" t="s">
        <v>11</v>
      </c>
      <c r="H36" s="20" t="str">
        <f aca="false">IF(G36="Cả nhóm","Cả nhóm",IFERROR(INDEX('Tổng quan'!$C$5:$C$7,MATCH(G36,'Tổng quan'!$B$5:$B$7,0)),""))</f>
        <v>Người 1</v>
      </c>
      <c r="I36" s="20" t="s">
        <v>17</v>
      </c>
      <c r="J36" s="20" t="s">
        <v>141</v>
      </c>
      <c r="K36" s="21" t="n">
        <f aca="false">'Tổng quan'!$E$11+(B36-1)*7</f>
        <v>46356</v>
      </c>
      <c r="L36" s="21" t="n">
        <f aca="false">'Tổng quan'!$E$11+(C36-1)*7+4</f>
        <v>46360</v>
      </c>
      <c r="M36" s="22" t="s">
        <v>62</v>
      </c>
      <c r="N36" s="23" t="n">
        <v>0</v>
      </c>
      <c r="O36" s="24"/>
    </row>
    <row r="37" customFormat="false" ht="15" hidden="false" customHeight="false" outlineLevel="0" collapsed="false">
      <c r="A37" s="19" t="n">
        <v>33</v>
      </c>
      <c r="B37" s="19" t="n">
        <v>8</v>
      </c>
      <c r="C37" s="19" t="n">
        <v>8</v>
      </c>
      <c r="D37" s="19" t="s">
        <v>136</v>
      </c>
      <c r="E37" s="20" t="s">
        <v>109</v>
      </c>
      <c r="F37" s="20" t="s">
        <v>142</v>
      </c>
      <c r="G37" s="19" t="s">
        <v>14</v>
      </c>
      <c r="H37" s="20" t="str">
        <f aca="false">IF(G37="Cả nhóm","Cả nhóm",IFERROR(INDEX('Tổng quan'!$C$5:$C$7,MATCH(G37,'Tổng quan'!$B$5:$B$7,0)),""))</f>
        <v>Người 2</v>
      </c>
      <c r="I37" s="20" t="s">
        <v>17</v>
      </c>
      <c r="J37" s="20" t="s">
        <v>143</v>
      </c>
      <c r="K37" s="21" t="n">
        <f aca="false">'Tổng quan'!$E$11+(B37-1)*7</f>
        <v>46356</v>
      </c>
      <c r="L37" s="21" t="n">
        <f aca="false">'Tổng quan'!$E$11+(C37-1)*7+4</f>
        <v>46360</v>
      </c>
      <c r="M37" s="22" t="s">
        <v>62</v>
      </c>
      <c r="N37" s="23" t="n">
        <v>0</v>
      </c>
      <c r="O37" s="24"/>
    </row>
    <row r="38" customFormat="false" ht="15" hidden="false" customHeight="false" outlineLevel="0" collapsed="false">
      <c r="A38" s="19" t="n">
        <v>34</v>
      </c>
      <c r="B38" s="19" t="n">
        <v>9</v>
      </c>
      <c r="C38" s="19" t="n">
        <v>9</v>
      </c>
      <c r="D38" s="19" t="s">
        <v>144</v>
      </c>
      <c r="E38" s="20" t="s">
        <v>145</v>
      </c>
      <c r="F38" s="20" t="s">
        <v>146</v>
      </c>
      <c r="G38" s="19" t="s">
        <v>11</v>
      </c>
      <c r="H38" s="20" t="str">
        <f aca="false">IF(G38="Cả nhóm","Cả nhóm",IFERROR(INDEX('Tổng quan'!$C$5:$C$7,MATCH(G38,'Tổng quan'!$B$5:$B$7,0)),""))</f>
        <v>Người 1</v>
      </c>
      <c r="I38" s="20"/>
      <c r="J38" s="20" t="s">
        <v>147</v>
      </c>
      <c r="K38" s="21" t="n">
        <f aca="false">'Tổng quan'!$E$11+(B38-1)*7</f>
        <v>46363</v>
      </c>
      <c r="L38" s="21" t="n">
        <f aca="false">'Tổng quan'!$E$11+(C38-1)*7+4</f>
        <v>46367</v>
      </c>
      <c r="M38" s="22" t="s">
        <v>62</v>
      </c>
      <c r="N38" s="23" t="n">
        <v>0</v>
      </c>
      <c r="O38" s="24"/>
    </row>
    <row r="39" customFormat="false" ht="15" hidden="false" customHeight="false" outlineLevel="0" collapsed="false">
      <c r="A39" s="19" t="n">
        <v>35</v>
      </c>
      <c r="B39" s="19" t="n">
        <v>9</v>
      </c>
      <c r="C39" s="19" t="n">
        <v>9</v>
      </c>
      <c r="D39" s="19" t="s">
        <v>144</v>
      </c>
      <c r="E39" s="20" t="s">
        <v>145</v>
      </c>
      <c r="F39" s="20" t="s">
        <v>148</v>
      </c>
      <c r="G39" s="19" t="s">
        <v>14</v>
      </c>
      <c r="H39" s="20" t="str">
        <f aca="false">IF(G39="Cả nhóm","Cả nhóm",IFERROR(INDEX('Tổng quan'!$C$5:$C$7,MATCH(G39,'Tổng quan'!$B$5:$B$7,0)),""))</f>
        <v>Người 2</v>
      </c>
      <c r="I39" s="20"/>
      <c r="J39" s="20" t="s">
        <v>149</v>
      </c>
      <c r="K39" s="21" t="n">
        <f aca="false">'Tổng quan'!$E$11+(B39-1)*7</f>
        <v>46363</v>
      </c>
      <c r="L39" s="21" t="n">
        <f aca="false">'Tổng quan'!$E$11+(C39-1)*7+4</f>
        <v>46367</v>
      </c>
      <c r="M39" s="22" t="s">
        <v>62</v>
      </c>
      <c r="N39" s="23" t="n">
        <v>0</v>
      </c>
      <c r="O39" s="24"/>
    </row>
    <row r="40" customFormat="false" ht="15" hidden="false" customHeight="false" outlineLevel="0" collapsed="false">
      <c r="A40" s="19" t="n">
        <v>36</v>
      </c>
      <c r="B40" s="19" t="n">
        <v>9</v>
      </c>
      <c r="C40" s="19" t="n">
        <v>9</v>
      </c>
      <c r="D40" s="19" t="s">
        <v>144</v>
      </c>
      <c r="E40" s="20" t="s">
        <v>131</v>
      </c>
      <c r="F40" s="20" t="s">
        <v>150</v>
      </c>
      <c r="G40" s="19" t="s">
        <v>17</v>
      </c>
      <c r="H40" s="20" t="str">
        <f aca="false">IF(G40="Cả nhóm","Cả nhóm",IFERROR(INDEX('Tổng quan'!$C$5:$C$7,MATCH(G40,'Tổng quan'!$B$5:$B$7,0)),""))</f>
        <v>Người 3</v>
      </c>
      <c r="I40" s="20"/>
      <c r="J40" s="20" t="s">
        <v>151</v>
      </c>
      <c r="K40" s="21" t="n">
        <f aca="false">'Tổng quan'!$E$11+(B40-1)*7</f>
        <v>46363</v>
      </c>
      <c r="L40" s="21" t="n">
        <f aca="false">'Tổng quan'!$E$11+(C40-1)*7+4</f>
        <v>46367</v>
      </c>
      <c r="M40" s="22" t="s">
        <v>62</v>
      </c>
      <c r="N40" s="23" t="n">
        <v>0</v>
      </c>
      <c r="O40" s="24"/>
    </row>
    <row r="41" customFormat="false" ht="15" hidden="false" customHeight="false" outlineLevel="0" collapsed="false">
      <c r="A41" s="19" t="n">
        <v>37</v>
      </c>
      <c r="B41" s="19" t="n">
        <v>10</v>
      </c>
      <c r="C41" s="19" t="n">
        <v>10</v>
      </c>
      <c r="D41" s="19" t="s">
        <v>152</v>
      </c>
      <c r="E41" s="20" t="s">
        <v>153</v>
      </c>
      <c r="F41" s="20" t="s">
        <v>154</v>
      </c>
      <c r="G41" s="19" t="s">
        <v>11</v>
      </c>
      <c r="H41" s="20" t="str">
        <f aca="false">IF(G41="Cả nhóm","Cả nhóm",IFERROR(INDEX('Tổng quan'!$C$5:$C$7,MATCH(G41,'Tổng quan'!$B$5:$B$7,0)),""))</f>
        <v>Người 1</v>
      </c>
      <c r="I41" s="20"/>
      <c r="J41" s="20"/>
      <c r="K41" s="21" t="n">
        <f aca="false">'Tổng quan'!$E$11+(B41-1)*7</f>
        <v>46370</v>
      </c>
      <c r="L41" s="21" t="n">
        <f aca="false">'Tổng quan'!$E$11+(C41-1)*7+4</f>
        <v>46374</v>
      </c>
      <c r="M41" s="22" t="s">
        <v>62</v>
      </c>
      <c r="N41" s="23" t="n">
        <v>0</v>
      </c>
      <c r="O41" s="24"/>
    </row>
    <row r="42" customFormat="false" ht="15" hidden="false" customHeight="false" outlineLevel="0" collapsed="false">
      <c r="A42" s="19" t="n">
        <v>38</v>
      </c>
      <c r="B42" s="19" t="n">
        <v>10</v>
      </c>
      <c r="C42" s="19" t="n">
        <v>10</v>
      </c>
      <c r="D42" s="19" t="s">
        <v>152</v>
      </c>
      <c r="E42" s="20" t="s">
        <v>153</v>
      </c>
      <c r="F42" s="20" t="s">
        <v>155</v>
      </c>
      <c r="G42" s="19" t="s">
        <v>14</v>
      </c>
      <c r="H42" s="20" t="str">
        <f aca="false">IF(G42="Cả nhóm","Cả nhóm",IFERROR(INDEX('Tổng quan'!$C$5:$C$7,MATCH(G42,'Tổng quan'!$B$5:$B$7,0)),""))</f>
        <v>Người 2</v>
      </c>
      <c r="I42" s="20"/>
      <c r="J42" s="20"/>
      <c r="K42" s="21" t="n">
        <f aca="false">'Tổng quan'!$E$11+(B42-1)*7</f>
        <v>46370</v>
      </c>
      <c r="L42" s="21" t="n">
        <f aca="false">'Tổng quan'!$E$11+(C42-1)*7+4</f>
        <v>46374</v>
      </c>
      <c r="M42" s="22" t="s">
        <v>62</v>
      </c>
      <c r="N42" s="23" t="n">
        <v>0</v>
      </c>
      <c r="O42" s="24"/>
    </row>
    <row r="43" customFormat="false" ht="15" hidden="false" customHeight="false" outlineLevel="0" collapsed="false">
      <c r="A43" s="19" t="n">
        <v>39</v>
      </c>
      <c r="B43" s="19" t="n">
        <v>10</v>
      </c>
      <c r="C43" s="19" t="n">
        <v>10</v>
      </c>
      <c r="D43" s="19" t="s">
        <v>152</v>
      </c>
      <c r="E43" s="20" t="s">
        <v>153</v>
      </c>
      <c r="F43" s="20" t="s">
        <v>156</v>
      </c>
      <c r="G43" s="19" t="s">
        <v>17</v>
      </c>
      <c r="H43" s="20" t="str">
        <f aca="false">IF(G43="Cả nhóm","Cả nhóm",IFERROR(INDEX('Tổng quan'!$C$5:$C$7,MATCH(G43,'Tổng quan'!$B$5:$B$7,0)),""))</f>
        <v>Người 3</v>
      </c>
      <c r="I43" s="20"/>
      <c r="J43" s="20"/>
      <c r="K43" s="21" t="n">
        <f aca="false">'Tổng quan'!$E$11+(B43-1)*7</f>
        <v>46370</v>
      </c>
      <c r="L43" s="21" t="n">
        <f aca="false">'Tổng quan'!$E$11+(C43-1)*7+4</f>
        <v>46374</v>
      </c>
      <c r="M43" s="22" t="s">
        <v>62</v>
      </c>
      <c r="N43" s="23" t="n">
        <v>0</v>
      </c>
      <c r="O43" s="24"/>
    </row>
    <row r="44" customFormat="false" ht="15" hidden="false" customHeight="false" outlineLevel="0" collapsed="false">
      <c r="A44" s="19" t="n">
        <v>40</v>
      </c>
      <c r="B44" s="19" t="n">
        <v>10</v>
      </c>
      <c r="C44" s="19" t="n">
        <v>10</v>
      </c>
      <c r="D44" s="19" t="s">
        <v>152</v>
      </c>
      <c r="E44" s="20" t="s">
        <v>153</v>
      </c>
      <c r="F44" s="20" t="s">
        <v>157</v>
      </c>
      <c r="G44" s="19" t="s">
        <v>20</v>
      </c>
      <c r="H44" s="20" t="str">
        <f aca="false">IF(G44="Cả nhóm","Cả nhóm",IFERROR(INDEX('Tổng quan'!$C$5:$C$7,MATCH(G44,'Tổng quan'!$B$5:$B$7,0)),""))</f>
        <v>Cả nhóm</v>
      </c>
      <c r="I44" s="20"/>
      <c r="J44" s="20" t="s">
        <v>158</v>
      </c>
      <c r="K44" s="21" t="n">
        <f aca="false">'Tổng quan'!$E$11+(B44-1)*7</f>
        <v>46370</v>
      </c>
      <c r="L44" s="21" t="n">
        <f aca="false">'Tổng quan'!$E$11+(C44-1)*7+4</f>
        <v>46374</v>
      </c>
      <c r="M44" s="22" t="s">
        <v>62</v>
      </c>
      <c r="N44" s="23" t="n">
        <v>0</v>
      </c>
      <c r="O44" s="24"/>
    </row>
  </sheetData>
  <autoFilter ref="A4:O44"/>
  <conditionalFormatting sqref="A5:O44">
    <cfRule type="expression" priority="2" aboveAverage="0" equalAverage="0" bottom="0" percent="0" rank="0" text="" dxfId="4">
      <formula>$M5="Hoàn thành"</formula>
    </cfRule>
    <cfRule type="expression" priority="3" aboveAverage="0" equalAverage="0" bottom="0" percent="0" rank="0" text="" dxfId="5">
      <formula>$M5="Bị chặn"</formula>
    </cfRule>
    <cfRule type="expression" priority="4" aboveAverage="0" equalAverage="0" bottom="0" percent="0" rank="0" text="" dxfId="6">
      <formula>AND($M5&lt;&gt;"Hoàn thành",$L5&lt;TODAY())</formula>
    </cfRule>
    <cfRule type="expression" priority="5" aboveAverage="0" equalAverage="0" bottom="0" percent="0" rank="0" text="" dxfId="7">
      <formula>$M5="Đang làm"</formula>
    </cfRule>
  </conditionalFormatting>
  <dataValidations count="3">
    <dataValidation allowBlank="true" errorStyle="stop" operator="between" showDropDown="false" showErrorMessage="false" showInputMessage="false" sqref="M5:M200" type="list">
      <formula1>"Chưa bắt đầu,Đang làm,Hoàn thành,Bị chặn"</formula1>
      <formula2>0</formula2>
    </dataValidation>
    <dataValidation allowBlank="true" errorStyle="stop" operator="between" showDropDown="false" showErrorMessage="false" showInputMessage="false" sqref="G5:G200" type="list">
      <formula1>"N1,N2,N3,Cả nhóm"</formula1>
      <formula2>0</formula2>
    </dataValidation>
    <dataValidation allowBlank="true" error="Nhập từ 0% đến 100%" errorStyle="stop" operator="between" showDropDown="false" showErrorMessage="false" showInputMessage="false" sqref="N5:N200" type="decimal">
      <formula1>0</formula1>
      <formula2>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4" min="2" style="0" width="42"/>
  </cols>
  <sheetData>
    <row r="1" customFormat="false" ht="17.35" hidden="false" customHeight="false" outlineLevel="0" collapsed="false">
      <c r="A1" s="1" t="s">
        <v>159</v>
      </c>
    </row>
    <row r="3" customFormat="false" ht="15" hidden="false" customHeight="false" outlineLevel="0" collapsed="false">
      <c r="A3" s="3" t="s">
        <v>50</v>
      </c>
      <c r="B3" s="3" t="s">
        <v>160</v>
      </c>
      <c r="C3" s="3" t="s">
        <v>161</v>
      </c>
      <c r="D3" s="3" t="s">
        <v>162</v>
      </c>
    </row>
    <row r="4" customFormat="false" ht="26.85" hidden="false" customHeight="false" outlineLevel="0" collapsed="false">
      <c r="A4" s="25" t="s">
        <v>59</v>
      </c>
      <c r="B4" s="20" t="s">
        <v>163</v>
      </c>
      <c r="C4" s="20" t="s">
        <v>164</v>
      </c>
      <c r="D4" s="20" t="s">
        <v>165</v>
      </c>
    </row>
    <row r="5" customFormat="false" ht="26.85" hidden="false" customHeight="false" outlineLevel="0" collapsed="false">
      <c r="A5" s="25" t="s">
        <v>69</v>
      </c>
      <c r="B5" s="20" t="s">
        <v>166</v>
      </c>
      <c r="C5" s="20" t="s">
        <v>167</v>
      </c>
      <c r="D5" s="20" t="s">
        <v>168</v>
      </c>
    </row>
    <row r="6" customFormat="false" ht="26.85" hidden="false" customHeight="false" outlineLevel="0" collapsed="false">
      <c r="A6" s="25" t="s">
        <v>169</v>
      </c>
      <c r="B6" s="20" t="s">
        <v>170</v>
      </c>
      <c r="C6" s="20" t="s">
        <v>171</v>
      </c>
      <c r="D6" s="20" t="s">
        <v>172</v>
      </c>
    </row>
    <row r="7" customFormat="false" ht="26.85" hidden="false" customHeight="false" outlineLevel="0" collapsed="false">
      <c r="A7" s="25" t="s">
        <v>173</v>
      </c>
      <c r="B7" s="20" t="s">
        <v>174</v>
      </c>
      <c r="C7" s="20" t="s">
        <v>175</v>
      </c>
      <c r="D7" s="20" t="s">
        <v>176</v>
      </c>
    </row>
    <row r="8" customFormat="false" ht="26.85" hidden="false" customHeight="false" outlineLevel="0" collapsed="false">
      <c r="A8" s="25" t="s">
        <v>177</v>
      </c>
      <c r="B8" s="20" t="s">
        <v>178</v>
      </c>
      <c r="C8" s="20" t="s">
        <v>179</v>
      </c>
      <c r="D8" s="20" t="s">
        <v>180</v>
      </c>
    </row>
    <row r="9" customFormat="false" ht="15" hidden="false" customHeight="false" outlineLevel="0" collapsed="false">
      <c r="A9" s="25" t="s">
        <v>153</v>
      </c>
      <c r="B9" s="20" t="s">
        <v>181</v>
      </c>
      <c r="C9" s="20" t="s">
        <v>182</v>
      </c>
      <c r="D9" s="20" t="s">
        <v>183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45"/>
    <col collapsed="false" customWidth="true" hidden="false" outlineLevel="0" max="3" min="3" style="0" width="50"/>
    <col collapsed="false" customWidth="true" hidden="false" outlineLevel="0" max="4" min="4" style="0" width="12"/>
    <col collapsed="false" customWidth="true" hidden="false" outlineLevel="0" max="5" min="5" style="0" width="15"/>
    <col collapsed="false" customWidth="true" hidden="false" outlineLevel="0" max="6" min="6" style="0" width="25"/>
  </cols>
  <sheetData>
    <row r="1" customFormat="false" ht="17.35" hidden="false" customHeight="false" outlineLevel="0" collapsed="false">
      <c r="A1" s="1" t="s">
        <v>184</v>
      </c>
    </row>
    <row r="3" customFormat="false" ht="26.85" hidden="false" customHeight="false" outlineLevel="0" collapsed="false">
      <c r="A3" s="3" t="s">
        <v>185</v>
      </c>
      <c r="B3" s="3" t="s">
        <v>186</v>
      </c>
      <c r="C3" s="3" t="s">
        <v>187</v>
      </c>
      <c r="D3" s="3" t="s">
        <v>39</v>
      </c>
      <c r="E3" s="3" t="s">
        <v>37</v>
      </c>
      <c r="F3" s="3" t="s">
        <v>57</v>
      </c>
    </row>
    <row r="4" customFormat="false" ht="26.85" hidden="false" customHeight="false" outlineLevel="0" collapsed="false">
      <c r="A4" s="26" t="s">
        <v>188</v>
      </c>
      <c r="B4" s="20" t="s">
        <v>189</v>
      </c>
      <c r="C4" s="20" t="s">
        <v>190</v>
      </c>
      <c r="D4" s="19" t="s">
        <v>17</v>
      </c>
      <c r="E4" s="22" t="s">
        <v>191</v>
      </c>
      <c r="F4" s="24" t="inlineStr">
        <is>
          <t>22/10: ID 5 chưa bắt đầu; đề xuất phạm vi và thứ tự ở docs/business-requirements.md §5a</t>
        </is>
      </c>
    </row>
    <row r="5" customFormat="false" ht="26.85" hidden="false" customHeight="false" outlineLevel="0" collapsed="false">
      <c r="A5" s="26" t="s">
        <v>192</v>
      </c>
      <c r="B5" s="20" t="s">
        <v>193</v>
      </c>
      <c r="C5" s="20" t="s">
        <v>194</v>
      </c>
      <c r="D5" s="19" t="s">
        <v>17</v>
      </c>
      <c r="E5" s="22" t="s">
        <v>191</v>
      </c>
      <c r="F5" s="24"/>
    </row>
    <row r="6" customFormat="false" ht="26.85" hidden="false" customHeight="false" outlineLevel="0" collapsed="false">
      <c r="A6" s="26" t="s">
        <v>195</v>
      </c>
      <c r="B6" s="20" t="s">
        <v>196</v>
      </c>
      <c r="C6" s="20" t="s">
        <v>197</v>
      </c>
      <c r="D6" s="19" t="s">
        <v>11</v>
      </c>
      <c r="E6" s="22" t="s">
        <v>191</v>
      </c>
      <c r="F6" s="24"/>
    </row>
    <row r="7" customFormat="false" ht="26.85" hidden="false" customHeight="false" outlineLevel="0" collapsed="false">
      <c r="A7" s="26" t="s">
        <v>198</v>
      </c>
      <c r="B7" s="20" t="s">
        <v>199</v>
      </c>
      <c r="C7" s="20" t="s">
        <v>200</v>
      </c>
      <c r="D7" s="19" t="s">
        <v>14</v>
      </c>
      <c r="E7" s="22" t="s">
        <v>191</v>
      </c>
      <c r="F7" s="24" t="inlineStr">
        <is>
          <t>22/10: gán trạm bằng khoảng cách haversine (scripts/station_config.py). HAN: Meteostat là sân bay Nội Bài (22 km); mưa ngày lấy Hà Đông (11,3 km). PTO, TUQ, HBI không có trạm</t>
        </is>
      </c>
    </row>
    <row r="8" customFormat="false" ht="26.85" hidden="false" customHeight="false" outlineLevel="0" collapsed="false">
      <c r="A8" s="26" t="s">
        <v>201</v>
      </c>
      <c r="B8" s="20" t="s">
        <v>202</v>
      </c>
      <c r="C8" s="20" t="s">
        <v>203</v>
      </c>
      <c r="D8" s="19" t="s">
        <v>11</v>
      </c>
      <c r="E8" s="22" t="s">
        <v>191</v>
      </c>
      <c r="F8" s="24"/>
    </row>
    <row r="9" customFormat="false" ht="39.55" hidden="false" customHeight="false" outlineLevel="0" collapsed="false">
      <c r="A9" s="26" t="s">
        <v>204</v>
      </c>
      <c r="B9" s="20" t="s">
        <v>205</v>
      </c>
      <c r="C9" s="20" t="inlineStr">
        <is>
          <t>Địa điểm = điểm tọa độ; DimLocation chỉ lưu tỉnh trước sáp nhập; GeoJSON dùng ranh giới trước sáp nhập (63 tỉnh). Đổi ngày 21/10/2026; cách xử lý gốc: "DimLocation lưu cả tỉnh cũ và mới; GeoJSON dùng ranh giới mới"</t>
        </is>
      </c>
      <c r="D9" s="19" t="s">
        <v>14</v>
      </c>
      <c r="E9" s="22" t="s">
        <v>191</v>
      </c>
      <c r="F9" s="24" t="inlineStr">
        <is>
          <t>21/10: đã chốt (N2) dùng ranh giới trước sáp nhập (63 tỉnh); DimLocation chỉ lưu tỉnh cũ, không lưu tỉnh mới</t>
        </is>
      </c>
    </row>
    <row r="10" customFormat="false" ht="26.85" hidden="false" customHeight="false" outlineLevel="0" collapsed="false">
      <c r="A10" s="26" t="s">
        <v>207</v>
      </c>
      <c r="B10" s="20" t="s">
        <v>208</v>
      </c>
      <c r="C10" s="20" t="s">
        <v>209</v>
      </c>
      <c r="D10" s="19" t="s">
        <v>20</v>
      </c>
      <c r="E10" s="22" t="s">
        <v>191</v>
      </c>
      <c r="F10" s="24" t="inlineStr">
        <is>
          <t>21/10: đã chốt 1 mm trong (t, t+24h], nguồn Open-Meteo cho thí nghiệm đầu; ưu tiên trạm/ERA5 để sau (docs/rain-label.md). N3 chưa duyệt</t>
        </is>
      </c>
    </row>
    <row r="11" customFormat="false" ht="26.85" hidden="false" customHeight="false" outlineLevel="0" collapsed="false">
      <c r="A11" s="26" t="s">
        <v>210</v>
      </c>
      <c r="B11" s="20" t="s">
        <v>211</v>
      </c>
      <c r="C11" s="20" t="s">
        <v>212</v>
      </c>
      <c r="D11" s="19" t="s">
        <v>17</v>
      </c>
      <c r="E11" s="22" t="s">
        <v>191</v>
      </c>
      <c r="F11" s="24"/>
    </row>
    <row r="12" customFormat="false" ht="26.85" hidden="false" customHeight="false" outlineLevel="0" collapsed="false">
      <c r="A12" s="26" t="s">
        <v>213</v>
      </c>
      <c r="B12" s="20" t="s">
        <v>214</v>
      </c>
      <c r="C12" s="20" t="s">
        <v>215</v>
      </c>
      <c r="D12" s="19" t="s">
        <v>17</v>
      </c>
      <c r="E12" s="22" t="s">
        <v>191</v>
      </c>
      <c r="F12" s="24" t="inlineStr">
        <is>
          <t>22/10: ngưỡng 0,40 chọn trên 2024 theo F1 (Recall 0,82) là kết quả test chính thức. Thêm điểm vận hành ưu tiên Recall: Recall validation ≥ 0,85 và Precision cao nhất → 0,36 (Recall 0,88). Do N1/N2 chốt thay N3, chờ N3 duyệt</t>
        </is>
      </c>
    </row>
    <row r="13" customFormat="false" ht="26.85" hidden="false" customHeight="false" outlineLevel="0" collapsed="false">
      <c r="A13" s="26" t="s">
        <v>59</v>
      </c>
      <c r="B13" s="20" t="s">
        <v>216</v>
      </c>
      <c r="C13" s="20" t="s">
        <v>217</v>
      </c>
      <c r="D13" s="19" t="s">
        <v>11</v>
      </c>
      <c r="E13" s="22" t="s">
        <v>191</v>
      </c>
      <c r="F13" s="24"/>
    </row>
  </sheetData>
  <dataValidations count="2">
    <dataValidation allowBlank="true" errorStyle="stop" operator="between" showDropDown="false" showErrorMessage="false" showInputMessage="false" sqref="E4:E50" type="list">
      <formula1>"Đang theo dõi,Đã xử lý,Đã xảy ra"</formula1>
      <formula2>0</formula2>
    </dataValidation>
    <dataValidation allowBlank="true" errorStyle="stop" operator="between" showDropDown="false" showErrorMessage="false" showInputMessage="false" sqref="D4:D50" type="list">
      <formula1>"N1,N2,N3,Cả nhóm"</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2026-10-06T07:20:39Z</dcterms:created>
  <dc:creator>openpyxl</dc:creator>
  <dc:description/>
  <dc:language>en-US</dc:language>
  <cp:lastModifiedBy/>
  <dcterms:modified xsi:type="dcterms:W3CDTF">2026-10-06T07:20:39Z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