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heo dõi công việc" sheetId="2" state="visible" r:id="rId4"/>
    <sheet name="Vai trò" sheetId="3" state="visible" r:id="rId5"/>
    <sheet name="Rủi ro" sheetId="4" state="visible" r:id="rId6"/>
  </sheets>
  <definedNames>
    <definedName function="false" hidden="true" localSheetId="1" name="_xlnm._FilterDatabase" vbProcedure="false">'Theo dõi công việc'!$A$4:$O$44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<sst xmlns="http://schemas.openxmlformats.org/spreadsheetml/2006/main" count="392" uniqueCount="218">
  <si>
    <t xml:space="preserve">Đề tài: Kho dữ liệu khí tượng đa nguồn – dự báo khả năng mưa miền Bắc</t>
  </si>
  <si>
    <t xml:space="preserve">Bảng tổng hợp tiến độ nhóm 3 người (tự cập nhật từ sheet "Theo dõi công việc")</t>
  </si>
  <si>
    <t xml:space="preserve">Mã</t>
  </si>
  <si>
    <t xml:space="preserve">Họ tên (điền)</t>
  </si>
  <si>
    <t xml:space="preserve">Vai trò</t>
  </si>
  <si>
    <t xml:space="preserve">Số việc</t>
  </si>
  <si>
    <t xml:space="preserve">Hoàn thành</t>
  </si>
  <si>
    <t xml:space="preserve">Đang làm</t>
  </si>
  <si>
    <t xml:space="preserve">Bị chặn</t>
  </si>
  <si>
    <t xml:space="preserve">Quá hạn</t>
  </si>
  <si>
    <t xml:space="preserve">% tiến độ</t>
  </si>
  <si>
    <t xml:space="preserve">N1</t>
  </si>
  <si>
    <t xml:space="preserve">Người 1</t>
  </si>
  <si>
    <t xml:space="preserve">Data Engineer</t>
  </si>
  <si>
    <t xml:space="preserve">N2</t>
  </si>
  <si>
    <t xml:space="preserve">Người 2</t>
  </si>
  <si>
    <t xml:space="preserve">DW &amp; BI</t>
  </si>
  <si>
    <t xml:space="preserve">N3</t>
  </si>
  <si>
    <t xml:space="preserve">Người 3</t>
  </si>
  <si>
    <t xml:space="preserve">Data Mining</t>
  </si>
  <si>
    <t xml:space="preserve">Cả nhóm</t>
  </si>
  <si>
    <t xml:space="preserve">Việc chung</t>
  </si>
  <si>
    <t xml:space="preserve">Tổng</t>
  </si>
  <si>
    <t xml:space="preserve">Ngày bắt đầu tuần 1 (thứ Hai):</t>
  </si>
  <si>
    <t xml:space="preserve">Giả định: thứ Hai tuần sau. Sửa ô này theo lịch học thực tế, mọi ngày bắt đầu/hạn chót sẽ tự đổi.</t>
  </si>
  <si>
    <t xml:space="preserve">Tiến độ theo tuần</t>
  </si>
  <si>
    <t xml:space="preserve">Tuần</t>
  </si>
  <si>
    <t xml:space="preserve">Từ ngày</t>
  </si>
  <si>
    <t xml:space="preserve">Đến ngày</t>
  </si>
  <si>
    <t xml:space="preserve">Việc hết hạn trong tuần</t>
  </si>
  <si>
    <t xml:space="preserve">Đã hoàn thành</t>
  </si>
  <si>
    <t xml:space="preserve">% hoàn thành</t>
  </si>
  <si>
    <t xml:space="preserve">Hướng dẫn</t>
  </si>
  <si>
    <t xml:space="preserve">Ô nền vàng</t>
  </si>
  <si>
    <t xml:space="preserve">là ô cần điền/cập nhật: họ tên thành viên, ngày bắt đầu tuần 1, trạng thái, % hoàn thành, ghi chú.</t>
  </si>
  <si>
    <t xml:space="preserve">Ô nền trắng</t>
  </si>
  <si>
    <t xml:space="preserve">là công thức tự tính, không cần sửa.</t>
  </si>
  <si>
    <t xml:space="preserve">Trạng thái</t>
  </si>
  <si>
    <t xml:space="preserve">chọn từ danh sách: Chưa bắt đầu / Đang làm / Hoàn thành / Bị chặn. Khi chọn Hoàn thành, đặt % = 100%.</t>
  </si>
  <si>
    <t xml:space="preserve">Mã phụ trách</t>
  </si>
  <si>
    <t xml:space="preserve">N1, N2, N3 hoặc Cả nhóm; tên người tự hiện theo bảng thành viên ở trên.</t>
  </si>
  <si>
    <t xml:space="preserve">là việc có hạn chót trước hôm nay mà chưa Hoàn thành (dòng tô đỏ nhạt).</t>
  </si>
  <si>
    <t xml:space="preserve">Thêm việc</t>
  </si>
  <si>
    <t xml:space="preserve">điền tiếp ở cuối sheet Theo dõi công việc (tối đa dòng 200), copy công thức cột H, K, L từ dòng trên.</t>
  </si>
  <si>
    <t xml:space="preserve">Theo dõi công việc</t>
  </si>
  <si>
    <t xml:space="preserve">Ô nền vàng: cập nhật trạng thái, % hoàn thành và ghi chú. Ngày tự tính từ 'Tổng quan'!E11.</t>
  </si>
  <si>
    <t xml:space="preserve">ID</t>
  </si>
  <si>
    <t xml:space="preserve">Tuần bắt đầu</t>
  </si>
  <si>
    <t xml:space="preserve">Tuần kết thúc</t>
  </si>
  <si>
    <t xml:space="preserve">Giai đoạn</t>
  </si>
  <si>
    <t xml:space="preserve">Hạng mục</t>
  </si>
  <si>
    <t xml:space="preserve">Công việc</t>
  </si>
  <si>
    <t xml:space="preserve">Người phụ trách</t>
  </si>
  <si>
    <t xml:space="preserve">Hỗ trợ</t>
  </si>
  <si>
    <t xml:space="preserve">Đầu ra</t>
  </si>
  <si>
    <t xml:space="preserve">Ngày bắt đầu</t>
  </si>
  <si>
    <t xml:space="preserve">Hạn chót</t>
  </si>
  <si>
    <t xml:space="preserve">Ghi chú</t>
  </si>
  <si>
    <t xml:space="preserve">Tuần 1</t>
  </si>
  <si>
    <t xml:space="preserve">Hạ tầng</t>
  </si>
  <si>
    <t xml:space="preserve">Dựng Docker Compose (MinIO, Airflow, PostgreSQL), tạo repo Git</t>
  </si>
  <si>
    <t xml:space="preserve">docker-compose.yml chạy được trên máy cả nhóm</t>
  </si>
  <si>
    <t xml:space="preserve">Chưa bắt đầu</t>
  </si>
  <si>
    <t xml:space="preserve">Data Lake</t>
  </si>
  <si>
    <t xml:space="preserve">Tạo bucket bronze / silver / gold trên MinIO, quy ước đặt tên file</t>
  </si>
  <si>
    <t xml:space="preserve">3 bucket + quy ước thư mục</t>
  </si>
  <si>
    <t xml:space="preserve">Data Warehouse</t>
  </si>
  <si>
    <t xml:space="preserve">Phác thảo Star Schema: Fact, Dim, grain</t>
  </si>
  <si>
    <t xml:space="preserve">Sơ đồ Star Schema bản nháp</t>
  </si>
  <si>
    <t xml:space="preserve">Nguồn dữ liệu</t>
  </si>
  <si>
    <t xml:space="preserve">Tải GeoJSON địa giới Việt Nam (ranh giới sau sáp nhập 1/7/2025)</t>
  </si>
  <si>
    <t xml:space="preserve">File GeoJSON trong Bronze</t>
  </si>
  <si>
    <t xml:space="preserve">Đăng ký Copernicus CDS, gửi yêu cầu tải ERA5 (vùng miền Bắc, chỉ các biến cần dùng)</t>
  </si>
  <si>
    <t xml:space="preserve">Yêu cầu tải đã vào hàng đợi</t>
  </si>
  <si>
    <t xml:space="preserve">Thống nhất</t>
  </si>
  <si>
    <t xml:space="preserve">Chốt schema chuẩn tầng Silver: tên cột, đơn vị, timestamp UTC</t>
  </si>
  <si>
    <t xml:space="preserve">File hợp đồng dữ liệu trong repo</t>
  </si>
  <si>
    <t xml:space="preserve">Chốt định nghĩa nhãn RainNext24h: nguồn ưu tiên, ngưỡng mm</t>
  </si>
  <si>
    <t xml:space="preserve">Định nghĩa nhãn ghi trong repo</t>
  </si>
  <si>
    <t xml:space="preserve">Tuần 2–3</t>
  </si>
  <si>
    <t xml:space="preserve">Thu thập Open-Meteo (REST API, JSON) → Bronze</t>
  </si>
  <si>
    <t xml:space="preserve">Dữ liệu 10 năm × 8 địa điểm</t>
  </si>
  <si>
    <t xml:space="preserve">Thu thập Meteostat / NOAA (CSV/Text) → Bronze</t>
  </si>
  <si>
    <t xml:space="preserve">Dữ liệu trạm thô</t>
  </si>
  <si>
    <t xml:space="preserve">ETL – Silver</t>
  </si>
  <si>
    <t xml:space="preserve">Làm sạch Open-Meteo và Meteostat → Silver: đơn vị, UTC, trùng lặp, giá trị thiếu</t>
  </si>
  <si>
    <t xml:space="preserve">Bảng Silver theo schema chuẩn</t>
  </si>
  <si>
    <t xml:space="preserve">DimLocation (tỉnh cũ + tỉnh mới), DimStation, gán trạm theo khoảng cách bằng GeoPandas</t>
  </si>
  <si>
    <t xml:space="preserve">Bảng DimLocation, DimStation</t>
  </si>
  <si>
    <t xml:space="preserve">DimDate, DimTime, DimSource</t>
  </si>
  <si>
    <t xml:space="preserve">Các bảng Dim thời gian và nguồn</t>
  </si>
  <si>
    <t xml:space="preserve">Viết DDL PostgreSQL cho toàn bộ Star Schema</t>
  </si>
  <si>
    <t xml:space="preserve">Script DDL</t>
  </si>
  <si>
    <t xml:space="preserve">Đọc ERA5 NetCDF bằng xarray → Bronze</t>
  </si>
  <si>
    <t xml:space="preserve">File NetCDF trong Bronze</t>
  </si>
  <si>
    <t xml:space="preserve">ERA5 → Silver: đổi đơn vị (K, m, Pa), tính gió từ u/v, khử cộng dồn mưa, lấy ô lưới gần nhất</t>
  </si>
  <si>
    <t xml:space="preserve">Bảng Silver ERA5 theo schema chuẩn</t>
  </si>
  <si>
    <t xml:space="preserve">Tuần 4–5</t>
  </si>
  <si>
    <t xml:space="preserve">ETL – Gold</t>
  </si>
  <si>
    <t xml:space="preserve">Gộp Silver → Gold, pivot các nguồn cho ML</t>
  </si>
  <si>
    <t xml:space="preserve">Bảng Gold thống nhất</t>
  </si>
  <si>
    <t xml:space="preserve">Orchestration</t>
  </si>
  <si>
    <t xml:space="preserve">DAG Airflow chạy trọn luồng Bronze → Silver → Gold → DW</t>
  </si>
  <si>
    <t xml:space="preserve">DAG chạy thành công</t>
  </si>
  <si>
    <t xml:space="preserve">Nạp FactWeatherObservation với khóa thay thế</t>
  </si>
  <si>
    <t xml:space="preserve">Kho dữ liệu đủ 10 năm</t>
  </si>
  <si>
    <t xml:space="preserve">OLAP</t>
  </si>
  <si>
    <t xml:space="preserve">Viết view OLAP: roll-up ngày/tháng/năm, theo tỉnh, theo nguồn</t>
  </si>
  <si>
    <t xml:space="preserve">Các view SQL</t>
  </si>
  <si>
    <t xml:space="preserve">BI</t>
  </si>
  <si>
    <t xml:space="preserve">Dashboard Power BI bản 1</t>
  </si>
  <si>
    <t xml:space="preserve">File .pbix bản 1</t>
  </si>
  <si>
    <t xml:space="preserve">Khai phá dữ liệu</t>
  </si>
  <si>
    <t xml:space="preserve">EDA: phân bố mưa theo mùa, tương quan các biến</t>
  </si>
  <si>
    <t xml:space="preserve">Notebook EDA</t>
  </si>
  <si>
    <t xml:space="preserve">Tạo nhãn RainNext24h</t>
  </si>
  <si>
    <t xml:space="preserve">Cột nhãn trong tập huấn luyện</t>
  </si>
  <si>
    <t xml:space="preserve">Xây đặc trưng: độ trễ, trung bình trượt, biến thiên áp suất 3h/24h, giờ/tháng</t>
  </si>
  <si>
    <t xml:space="preserve">Bộ đặc trưng, không rò rỉ dữ liệu</t>
  </si>
  <si>
    <t xml:space="preserve">Tuần 6–7</t>
  </si>
  <si>
    <t xml:space="preserve">Chất lượng dữ liệu</t>
  </si>
  <si>
    <t xml:space="preserve">Bước kiểm tra trong Airflow: đếm dòng, % thiếu, khoảng giá trị hợp lệ</t>
  </si>
  <si>
    <t xml:space="preserve">Task kiểm tra trong DAG</t>
  </si>
  <si>
    <t xml:space="preserve">DAG cập nhật tăng dần (incremental)</t>
  </si>
  <si>
    <t xml:space="preserve">DAG chạy theo lịch</t>
  </si>
  <si>
    <t xml:space="preserve">Index và tối ưu truy vấn DW</t>
  </si>
  <si>
    <t xml:space="preserve">Thời gian truy vấn dashboard chấp nhận được</t>
  </si>
  <si>
    <t xml:space="preserve">Dashboard đầy đủ: bản đồ, so sánh khu vực và nguồn, Roll-up / Drill-down / Slice / Dice</t>
  </si>
  <si>
    <t xml:space="preserve">Dashboard hoàn chỉnh</t>
  </si>
  <si>
    <t xml:space="preserve">Huấn luyện CART, tinh chỉnh max_depth, ccp_alpha, class_weight trên tập 2024</t>
  </si>
  <si>
    <t xml:space="preserve">Mô hình tốt nhất trên validation</t>
  </si>
  <si>
    <t xml:space="preserve">Đánh giá mô hình</t>
  </si>
  <si>
    <t xml:space="preserve">Kiểm tra trên tập 2025: confusion matrix, Accuracy, Precision, Recall, F1; chỉnh ngưỡng xác suất</t>
  </si>
  <si>
    <t xml:space="preserve">Bảng chỉ số đánh giá</t>
  </si>
  <si>
    <t xml:space="preserve">Vẽ và diễn giải cây quyết định, trích luật phân loại</t>
  </si>
  <si>
    <t xml:space="preserve">Hình cây + luật</t>
  </si>
  <si>
    <t xml:space="preserve">Tuần 8</t>
  </si>
  <si>
    <t xml:space="preserve">Tích hợp ML</t>
  </si>
  <si>
    <t xml:space="preserve">Thiết kế FactWeatherPrediction, DimModel; ghi kết quả dự báo vào DW</t>
  </si>
  <si>
    <t xml:space="preserve">Bảng dự báo có dữ liệu</t>
  </si>
  <si>
    <t xml:space="preserve">DAG chấm điểm dự báo</t>
  </si>
  <si>
    <t xml:space="preserve">DAG dự báo chạy được</t>
  </si>
  <si>
    <t xml:space="preserve">Trang dashboard dự báo so với thực tế</t>
  </si>
  <si>
    <t xml:space="preserve">Trang dự báo trong Power BI</t>
  </si>
  <si>
    <t xml:space="preserve">Tuần 9</t>
  </si>
  <si>
    <t xml:space="preserve">Kiểm thử</t>
  </si>
  <si>
    <t xml:space="preserve">Chạy lại toàn bộ pipeline trên máy sạch, sửa lỗi</t>
  </si>
  <si>
    <t xml:space="preserve">Pipeline chạy từ đầu đến cuối</t>
  </si>
  <si>
    <t xml:space="preserve">Đối chiếu số liệu dashboard với truy vấn SQL</t>
  </si>
  <si>
    <t xml:space="preserve">Biên bản đối chiếu</t>
  </si>
  <si>
    <t xml:space="preserve">Phân tích lỗi mô hình, so sánh các ngưỡng</t>
  </si>
  <si>
    <t xml:space="preserve">Phần phân tích lỗi</t>
  </si>
  <si>
    <t xml:space="preserve">Tuần 10</t>
  </si>
  <si>
    <t xml:space="preserve">Báo cáo</t>
  </si>
  <si>
    <t xml:space="preserve">Chương: nguồn dữ liệu, Data Lake, ETL</t>
  </si>
  <si>
    <t xml:space="preserve">Chương: Data Warehouse, OLAP, dashboard</t>
  </si>
  <si>
    <t xml:space="preserve">Chương: khai phá dữ liệu, đánh giá mô hình</t>
  </si>
  <si>
    <t xml:space="preserve">Mở đầu, kết luận, slide, tập demo</t>
  </si>
  <si>
    <t xml:space="preserve">Báo cáo + slide hoàn chỉnh</t>
  </si>
  <si>
    <t xml:space="preserve">Phân công vai trò</t>
  </si>
  <si>
    <t xml:space="preserve">Người 1 – Data Engineer</t>
  </si>
  <si>
    <t xml:space="preserve">Người 2 – DW &amp; BI</t>
  </si>
  <si>
    <t xml:space="preserve">Người 3 – Data Mining</t>
  </si>
  <si>
    <t xml:space="preserve">Docker Compose (MinIO, Airflow, PostgreSQL), repo Git</t>
  </si>
  <si>
    <t xml:space="preserve">Cài đặt và kết nối Power BI với PostgreSQL</t>
  </si>
  <si>
    <t xml:space="preserve">Môi trường Python cho ML</t>
  </si>
  <si>
    <t xml:space="preserve">Open-Meteo (JSON), Meteostat/NOAA (CSV) → Bronze, Silver</t>
  </si>
  <si>
    <t xml:space="preserve">GeoJSON địa giới, gán trạm vào địa điểm</t>
  </si>
  <si>
    <t xml:space="preserve">ERA5 (NetCDF, xarray) → Bronze, Silver</t>
  </si>
  <si>
    <t xml:space="preserve">ETL</t>
  </si>
  <si>
    <t xml:space="preserve">Gộp Silver thành Gold, toàn bộ DAG Airflow, kiểm tra chất lượng</t>
  </si>
  <si>
    <t xml:space="preserve">Nạp Gold vào DW (khóa thay thế, các bảng Dim)</t>
  </si>
  <si>
    <t xml:space="preserve">DAG chấm điểm dự báo (làm cùng Người 1)</t>
  </si>
  <si>
    <t xml:space="preserve">Kho dữ liệu</t>
  </si>
  <si>
    <t xml:space="preserve">Index, tối ưu truy vấn</t>
  </si>
  <si>
    <t xml:space="preserve">Thiết kế Star Schema, DDL, Dim, Fact, view OLAP</t>
  </si>
  <si>
    <t xml:space="preserve">Thiết kế FactWeatherPrediction, DimModel</t>
  </si>
  <si>
    <t xml:space="preserve">Phân tích</t>
  </si>
  <si>
    <t xml:space="preserve">–</t>
  </si>
  <si>
    <t xml:space="preserve">Dashboard: xu hướng, so sánh khu vực và nguồn, bản đồ, Roll-up/Drill-down/Slice/Dice</t>
  </si>
  <si>
    <t xml:space="preserve">EDA, tạo nhãn, đặc trưng, CART, đánh giá mô hình</t>
  </si>
  <si>
    <t xml:space="preserve">Chương nguồn dữ liệu, Data Lake, ETL</t>
  </si>
  <si>
    <t xml:space="preserve">Chương DW, OLAP, dashboard</t>
  </si>
  <si>
    <t xml:space="preserve">Chương khai phá dữ liệu, đánh giá</t>
  </si>
  <si>
    <t xml:space="preserve">Rủi ro và cách xử lý</t>
  </si>
  <si>
    <t xml:space="preserve">Vấn đề</t>
  </si>
  <si>
    <t xml:space="preserve">Chi tiết</t>
  </si>
  <si>
    <t xml:space="preserve">Cách xử lý</t>
  </si>
  <si>
    <t xml:space="preserve">ERA5 tải chậm</t>
  </si>
  <si>
    <t xml:space="preserve">Cần tài khoản Copernicus CDS; yêu cầu tải xếp hàng có thể mất nhiều giờ đến nhiều ngày.</t>
  </si>
  <si>
    <t xml:space="preserve">Đăng ký và gửi yêu cầu ngay tuần 1; chỉ lấy vùng miền Bắc và biến cần dùng; tải theo tháng/năm.</t>
  </si>
  <si>
    <t xml:space="preserve">Đang theo dõi</t>
  </si>
  <si>
    <t xml:space="preserve">Đơn vị ERA5 khác hẳn</t>
  </si>
  <si>
    <t xml:space="preserve">Nhiệt độ Kelvin, mưa mét, áp suất Pa, gió dạng u/v; ERA5-Land cộng dồn mưa từ 00 UTC.</t>
  </si>
  <si>
    <t xml:space="preserve">Đổi đơn vị ở Silver, tính tốc độ/hướng gió từ u/v, khử cộng dồn, lấy ô lưới gần nhất.</t>
  </si>
  <si>
    <t xml:space="preserve">Open-Meteo và ERA5 trùng gốc</t>
  </si>
  <si>
    <t xml:space="preserve">API lịch sử Open-Meteo dựng chủ yếu từ dữ liệu tái phân tích ERA5.</t>
  </si>
  <si>
    <t xml:space="preserve">Nêu rõ trong báo cáo; dùng như điểm cộng để đối chiếu chéo nguồn.</t>
  </si>
  <si>
    <t xml:space="preserve">Trạm Meteostat/NOAA thưa</t>
  </si>
  <si>
    <t xml:space="preserve">Miền Bắc ít trạm, nhiều giờ thiếu; không phải địa điểm nào cũng có trạm.</t>
  </si>
  <si>
    <t xml:space="preserve">Gán trạm theo khoảng cách bằng GeoPandas; khóa DimStation cho phép rỗng với nguồn lưới.</t>
  </si>
  <si>
    <t xml:space="preserve">Múi giờ</t>
  </si>
  <si>
    <t xml:space="preserve">ERA5, Meteostat dùng UTC; Open-Meteo có thể trả giờ địa phương.</t>
  </si>
  <si>
    <t xml:space="preserve">Lưu thống nhất UTC, thêm cột giờ Việt Nam (UTC+7).</t>
  </si>
  <si>
    <t xml:space="preserve">Địa giới hành chính mới</t>
  </si>
  <si>
    <t xml:space="preserve">Sáp nhập tỉnh từ 1/7/2025 (vd Hòa Bình nay thuộc Phú Thọ); danh sách địa điểm trộn tên cũ/mới.</t>
  </si>
  <si>
    <t xml:space="preserve">Địa điểm = điểm tọa độ; DimLocation lưu cả tỉnh cũ và mới; GeoJSON dùng ranh giới mới.</t>
  </si>
  <si>
    <t xml:space="preserve">Nhãn mưa chưa rõ</t>
  </si>
  <si>
    <t xml:space="preserve">Chưa xác định nguồn lấy nhãn và ngưỡng mm.</t>
  </si>
  <si>
    <t xml:space="preserve">Chốt sớm: tổng mưa 24h tới ≥ 0,1 mm (hoặc 1 mm), ưu tiên trạm, thiếu thì dùng ERA5.</t>
  </si>
  <si>
    <t xml:space="preserve">Rò rỉ dữ liệu khi học máy</t>
  </si>
  <si>
    <t xml:space="preserve">Đặc trưng vô tình chứa thông tin tương lai.</t>
  </si>
  <si>
    <t xml:space="preserve">Mọi đặc trưng chỉ dùng dữ liệu tại hoặc trước thời điểm t; chia tập theo thời gian.</t>
  </si>
  <si>
    <t xml:space="preserve">Mất cân bằng lớp</t>
  </si>
  <si>
    <t xml:space="preserve">Mùa khô có rất ít giờ mưa.</t>
  </si>
  <si>
    <t xml:space="preserve">class_weight='balanced', chỉnh ngưỡng xác suất trên tập 2024 để tăng Recall.</t>
  </si>
  <si>
    <t xml:space="preserve">Airflow trên Docker tốn ~4 GB RAM; Power BI Desktop chỉ chạy trên Windows.</t>
  </si>
  <si>
    <t xml:space="preserve">Chuẩn bị ít nhất một máy Windows RAM từ 16 GB.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</si>
</sst>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375623"/>
      </font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10" min="8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customFormat="false" ht="15" hidden="false" customHeight="false" outlineLevel="0" collapsed="false">
      <c r="B5" s="4" t="s">
        <v>11</v>
      </c>
      <c r="C5" s="5" t="s">
        <v>12</v>
      </c>
      <c r="D5" s="4" t="s">
        <v>13</v>
      </c>
      <c r="E5" s="6" t="n">
        <f aca="false">COUNTIF('Theo dõi công việc'!$G$5:$G$200,B5)</f>
        <v>13</v>
      </c>
      <c r="F5" s="6" t="n">
        <f aca="false">COUNTIFS('Theo dõi công việc'!$G$5:$G$200,B5,'Theo dõi công việc'!$M$5:$M$200,"Hoàn thành")</f>
        <v>0</v>
      </c>
      <c r="G5" s="6" t="n">
        <f aca="false">COUNTIFS('Theo dõi công việc'!$G$5:$G$200,B5,'Theo dõi công việc'!$M$5:$M$200,"Đang làm")</f>
        <v>0</v>
      </c>
      <c r="H5" s="6" t="n">
        <f aca="false">COUNTIFS('Theo dõi công việc'!$G$5:$G$200,B5,'Theo dõi công việc'!$M$5:$M$200,"Bị chặn")</f>
        <v>0</v>
      </c>
      <c r="I5" s="6" t="n">
        <f aca="true">COUNTIFS('Theo dõi công việc'!$G$5:$G$200,B5,'Theo dõi công việc'!$L$5:$L$200,"&lt;"&amp;TODAY(),'Theo dõi công việc'!$M$5:$M$200,"&lt;&gt;Hoàn thành")</f>
        <v>0</v>
      </c>
      <c r="J5" s="7" t="n">
        <f aca="false">IFERROR(AVERAGEIF('Theo dõi công việc'!$G$5:$G$200,B5,'Theo dõi công việc'!$N$5:$N$200),0)</f>
        <v>0</v>
      </c>
    </row>
    <row r="6" customFormat="false" ht="15" hidden="false" customHeight="false" outlineLevel="0" collapsed="false">
      <c r="B6" s="4" t="s">
        <v>14</v>
      </c>
      <c r="C6" s="5" t="s">
        <v>15</v>
      </c>
      <c r="D6" s="4" t="s">
        <v>16</v>
      </c>
      <c r="E6" s="6" t="n">
        <f aca="false">COUNTIF('Theo dõi công việc'!$G$5:$G$200,B6)</f>
        <v>12</v>
      </c>
      <c r="F6" s="6" t="n">
        <f aca="false">COUNTIFS('Theo dõi công việc'!$G$5:$G$200,B6,'Theo dõi công việc'!$M$5:$M$200,"Hoàn thành")</f>
        <v>0</v>
      </c>
      <c r="G6" s="6" t="n">
        <f aca="false">COUNTIFS('Theo dõi công việc'!$G$5:$G$200,B6,'Theo dõi công việc'!$M$5:$M$200,"Đang làm")</f>
        <v>0</v>
      </c>
      <c r="H6" s="6" t="n">
        <f aca="false">COUNTIFS('Theo dõi công việc'!$G$5:$G$200,B6,'Theo dõi công việc'!$M$5:$M$200,"Bị chặn")</f>
        <v>0</v>
      </c>
      <c r="I6" s="6" t="n">
        <f aca="true">COUNTIFS('Theo dõi công việc'!$G$5:$G$200,B6,'Theo dõi công việc'!$L$5:$L$200,"&lt;"&amp;TODAY(),'Theo dõi công việc'!$M$5:$M$200,"&lt;&gt;Hoàn thành")</f>
        <v>0</v>
      </c>
      <c r="J6" s="7" t="n">
        <f aca="false">IFERROR(AVERAGEIF('Theo dõi công việc'!$G$5:$G$200,B6,'Theo dõi công việc'!$N$5:$N$200),0)</f>
        <v>0</v>
      </c>
    </row>
    <row r="7" customFormat="false" ht="15" hidden="false" customHeight="false" outlineLevel="0" collapsed="false">
      <c r="B7" s="4" t="s">
        <v>17</v>
      </c>
      <c r="C7" s="5" t="s">
        <v>18</v>
      </c>
      <c r="D7" s="4" t="s">
        <v>19</v>
      </c>
      <c r="E7" s="6" t="n">
        <f aca="false">COUNTIF('Theo dõi công việc'!$G$5:$G$200,B7)</f>
        <v>12</v>
      </c>
      <c r="F7" s="6" t="n">
        <f aca="false">COUNTIFS('Theo dõi công việc'!$G$5:$G$200,B7,'Theo dõi công việc'!$M$5:$M$200,"Hoàn thành")</f>
        <v>0</v>
      </c>
      <c r="G7" s="6" t="n">
        <f aca="false">COUNTIFS('Theo dõi công việc'!$G$5:$G$200,B7,'Theo dõi công việc'!$M$5:$M$200,"Đang làm")</f>
        <v>0</v>
      </c>
      <c r="H7" s="6" t="n">
        <f aca="false">COUNTIFS('Theo dõi công việc'!$G$5:$G$200,B7,'Theo dõi công việc'!$M$5:$M$200,"Bị chặn")</f>
        <v>0</v>
      </c>
      <c r="I7" s="6" t="n">
        <f aca="true">COUNTIFS('Theo dõi công việc'!$G$5:$G$200,B7,'Theo dõi công việc'!$L$5:$L$200,"&lt;"&amp;TODAY(),'Theo dõi công việc'!$M$5:$M$200,"&lt;&gt;Hoàn thành")</f>
        <v>0</v>
      </c>
      <c r="J7" s="7" t="n">
        <f aca="false">IFERROR(AVERAGEIF('Theo dõi công việc'!$G$5:$G$200,B7,'Theo dõi công việc'!$N$5:$N$200),0)</f>
        <v>0</v>
      </c>
    </row>
    <row r="8" customFormat="false" ht="15" hidden="false" customHeight="false" outlineLevel="0" collapsed="false">
      <c r="B8" s="4" t="s">
        <v>20</v>
      </c>
      <c r="C8" s="4" t="s">
        <v>20</v>
      </c>
      <c r="D8" s="4" t="s">
        <v>21</v>
      </c>
      <c r="E8" s="6" t="n">
        <f aca="false">COUNTIF('Theo dõi công việc'!$G$5:$G$200,B8)</f>
        <v>3</v>
      </c>
      <c r="F8" s="6" t="n">
        <f aca="false">COUNTIFS('Theo dõi công việc'!$G$5:$G$200,B8,'Theo dõi công việc'!$M$5:$M$200,"Hoàn thành")</f>
        <v>0</v>
      </c>
      <c r="G8" s="6" t="n">
        <f aca="false">COUNTIFS('Theo dõi công việc'!$G$5:$G$200,B8,'Theo dõi công việc'!$M$5:$M$200,"Đang làm")</f>
        <v>0</v>
      </c>
      <c r="H8" s="6" t="n">
        <f aca="false">COUNTIFS('Theo dõi công việc'!$G$5:$G$200,B8,'Theo dõi công việc'!$M$5:$M$200,"Bị chặn")</f>
        <v>0</v>
      </c>
      <c r="I8" s="6" t="n">
        <f aca="true">COUNTIFS('Theo dõi công việc'!$G$5:$G$200,B8,'Theo dõi công việc'!$L$5:$L$200,"&lt;"&amp;TODAY(),'Theo dõi công việc'!$M$5:$M$200,"&lt;&gt;Hoàn thành")</f>
        <v>0</v>
      </c>
      <c r="J8" s="7" t="n">
        <f aca="false">IFERROR(AVERAGEIF('Theo dõi công việc'!$G$5:$G$200,B8,'Theo dõi công việc'!$N$5:$N$200),0)</f>
        <v>0</v>
      </c>
    </row>
    <row r="9" customFormat="false" ht="15" hidden="false" customHeight="false" outlineLevel="0" collapsed="false">
      <c r="B9" s="8" t="s">
        <v>22</v>
      </c>
      <c r="C9" s="8"/>
      <c r="D9" s="8"/>
      <c r="E9" s="9" t="n">
        <f aca="false">SUM(E5:E8)</f>
        <v>40</v>
      </c>
      <c r="F9" s="9" t="n">
        <f aca="false">SUM(F5:F8)</f>
        <v>0</v>
      </c>
      <c r="G9" s="9" t="n">
        <f aca="false">SUM(G5:G8)</f>
        <v>0</v>
      </c>
      <c r="H9" s="9" t="n">
        <f aca="false">SUM(H5:H8)</f>
        <v>0</v>
      </c>
      <c r="I9" s="9" t="n">
        <f aca="false">SUM(I5:I8)</f>
        <v>0</v>
      </c>
      <c r="J9" s="10" t="n">
        <f aca="false">IFERROR(AVERAGE('Theo dõi công việc'!$N$5:$N$200),0)</f>
        <v>0</v>
      </c>
    </row>
    <row r="11" customFormat="false" ht="15" hidden="false" customHeight="false" outlineLevel="0" collapsed="false">
      <c r="B11" s="11" t="s">
        <v>23</v>
      </c>
      <c r="E11" s="12" t="n">
        <v>46307</v>
      </c>
      <c r="F11" s="13" t="s">
        <v>24</v>
      </c>
    </row>
    <row r="13" customFormat="false" ht="15" hidden="false" customHeight="false" outlineLevel="0" collapsed="false">
      <c r="B13" s="14" t="s">
        <v>25</v>
      </c>
    </row>
    <row r="14" customFormat="false" ht="39.55" hidden="false" customHeight="false" outlineLevel="0" collapsed="false">
      <c r="B14" s="3" t="s">
        <v>26</v>
      </c>
      <c r="C14" s="3" t="s">
        <v>27</v>
      </c>
      <c r="D14" s="3" t="s">
        <v>28</v>
      </c>
      <c r="E14" s="3" t="s">
        <v>29</v>
      </c>
      <c r="F14" s="3" t="s">
        <v>30</v>
      </c>
      <c r="G14" s="3" t="s">
        <v>31</v>
      </c>
    </row>
    <row r="15" customFormat="false" ht="15" hidden="false" customHeight="false" outlineLevel="0" collapsed="false">
      <c r="B15" s="15" t="n">
        <v>1</v>
      </c>
      <c r="C15" s="16" t="n">
        <f aca="false">$E$11+(B15-1)*7</f>
        <v>46307</v>
      </c>
      <c r="D15" s="16" t="n">
        <f aca="false">C15+4</f>
        <v>46311</v>
      </c>
      <c r="E15" s="15" t="n">
        <f aca="false">COUNTIF('Theo dõi công việc'!$C$5:$C$200,B15)</f>
        <v>7</v>
      </c>
      <c r="F15" s="15" t="n">
        <f aca="false">COUNTIFS('Theo dõi công việc'!$C$5:$C$200,B15,'Theo dõi công việc'!$M$5:$M$200,"Hoàn thành")</f>
        <v>0</v>
      </c>
      <c r="G15" s="17" t="n">
        <f aca="false">IF(E15=0,"-",F15/E15)</f>
        <v>0</v>
      </c>
    </row>
    <row r="16" customFormat="false" ht="15" hidden="false" customHeight="false" outlineLevel="0" collapsed="false">
      <c r="B16" s="15" t="n">
        <v>2</v>
      </c>
      <c r="C16" s="16" t="n">
        <f aca="false">$E$11+(B16-1)*7</f>
        <v>46314</v>
      </c>
      <c r="D16" s="16" t="n">
        <f aca="false">C16+4</f>
        <v>46318</v>
      </c>
      <c r="E16" s="15" t="n">
        <f aca="false">COUNTIF('Theo dõi công việc'!$C$5:$C$200,B16)</f>
        <v>0</v>
      </c>
      <c r="F16" s="15" t="n">
        <f aca="false">COUNTIFS('Theo dõi công việc'!$C$5:$C$200,B16,'Theo dõi công việc'!$M$5:$M$200,"Hoàn thành")</f>
        <v>0</v>
      </c>
      <c r="G16" s="17" t="str">
        <f aca="false">IF(E16=0,"-",F16/E16)</f>
        <v>-</v>
      </c>
    </row>
    <row r="17" customFormat="false" ht="15" hidden="false" customHeight="false" outlineLevel="0" collapsed="false">
      <c r="B17" s="15" t="n">
        <v>3</v>
      </c>
      <c r="C17" s="16" t="n">
        <f aca="false">$E$11+(B17-1)*7</f>
        <v>46321</v>
      </c>
      <c r="D17" s="16" t="n">
        <f aca="false">C17+4</f>
        <v>46325</v>
      </c>
      <c r="E17" s="15" t="n">
        <f aca="false">COUNTIF('Theo dõi công việc'!$C$5:$C$200,B17)</f>
        <v>8</v>
      </c>
      <c r="F17" s="15" t="n">
        <f aca="false">COUNTIFS('Theo dõi công việc'!$C$5:$C$200,B17,'Theo dõi công việc'!$M$5:$M$200,"Hoàn thành")</f>
        <v>0</v>
      </c>
      <c r="G17" s="17" t="n">
        <f aca="false">IF(E17=0,"-",F17/E17)</f>
        <v>0</v>
      </c>
    </row>
    <row r="18" customFormat="false" ht="15" hidden="false" customHeight="false" outlineLevel="0" collapsed="false">
      <c r="B18" s="15" t="n">
        <v>4</v>
      </c>
      <c r="C18" s="16" t="n">
        <f aca="false">$E$11+(B18-1)*7</f>
        <v>46328</v>
      </c>
      <c r="D18" s="16" t="n">
        <f aca="false">C18+4</f>
        <v>46332</v>
      </c>
      <c r="E18" s="15" t="n">
        <f aca="false">COUNTIF('Theo dõi công việc'!$C$5:$C$200,B18)</f>
        <v>0</v>
      </c>
      <c r="F18" s="15" t="n">
        <f aca="false">COUNTIFS('Theo dõi công việc'!$C$5:$C$200,B18,'Theo dõi công việc'!$M$5:$M$200,"Hoàn thành")</f>
        <v>0</v>
      </c>
      <c r="G18" s="17" t="str">
        <f aca="false">IF(E18=0,"-",F18/E18)</f>
        <v>-</v>
      </c>
    </row>
    <row r="19" customFormat="false" ht="15" hidden="false" customHeight="false" outlineLevel="0" collapsed="false">
      <c r="B19" s="15" t="n">
        <v>5</v>
      </c>
      <c r="C19" s="16" t="n">
        <f aca="false">$E$11+(B19-1)*7</f>
        <v>46335</v>
      </c>
      <c r="D19" s="16" t="n">
        <f aca="false">C19+4</f>
        <v>46339</v>
      </c>
      <c r="E19" s="15" t="n">
        <f aca="false">COUNTIF('Theo dõi công việc'!$C$5:$C$200,B19)</f>
        <v>8</v>
      </c>
      <c r="F19" s="15" t="n">
        <f aca="false">COUNTIFS('Theo dõi công việc'!$C$5:$C$200,B19,'Theo dõi công việc'!$M$5:$M$200,"Hoàn thành")</f>
        <v>0</v>
      </c>
      <c r="G19" s="17" t="n">
        <f aca="false">IF(E19=0,"-",F19/E19)</f>
        <v>0</v>
      </c>
    </row>
    <row r="20" customFormat="false" ht="15" hidden="false" customHeight="false" outlineLevel="0" collapsed="false">
      <c r="B20" s="15" t="n">
        <v>6</v>
      </c>
      <c r="C20" s="16" t="n">
        <f aca="false">$E$11+(B20-1)*7</f>
        <v>46342</v>
      </c>
      <c r="D20" s="16" t="n">
        <f aca="false">C20+4</f>
        <v>46346</v>
      </c>
      <c r="E20" s="15" t="n">
        <f aca="false">COUNTIF('Theo dõi công việc'!$C$5:$C$200,B20)</f>
        <v>0</v>
      </c>
      <c r="F20" s="15" t="n">
        <f aca="false">COUNTIFS('Theo dõi công việc'!$C$5:$C$200,B20,'Theo dõi công việc'!$M$5:$M$200,"Hoàn thành")</f>
        <v>0</v>
      </c>
      <c r="G20" s="17" t="str">
        <f aca="false">IF(E20=0,"-",F20/E20)</f>
        <v>-</v>
      </c>
    </row>
    <row r="21" customFormat="false" ht="15" hidden="false" customHeight="false" outlineLevel="0" collapsed="false">
      <c r="B21" s="15" t="n">
        <v>7</v>
      </c>
      <c r="C21" s="16" t="n">
        <f aca="false">$E$11+(B21-1)*7</f>
        <v>46349</v>
      </c>
      <c r="D21" s="16" t="n">
        <f aca="false">C21+4</f>
        <v>46353</v>
      </c>
      <c r="E21" s="15" t="n">
        <f aca="false">COUNTIF('Theo dõi công việc'!$C$5:$C$200,B21)</f>
        <v>7</v>
      </c>
      <c r="F21" s="15" t="n">
        <f aca="false">COUNTIFS('Theo dõi công việc'!$C$5:$C$200,B21,'Theo dõi công việc'!$M$5:$M$200,"Hoàn thành")</f>
        <v>0</v>
      </c>
      <c r="G21" s="17" t="n">
        <f aca="false">IF(E21=0,"-",F21/E21)</f>
        <v>0</v>
      </c>
    </row>
    <row r="22" customFormat="false" ht="15" hidden="false" customHeight="false" outlineLevel="0" collapsed="false">
      <c r="B22" s="15" t="n">
        <v>8</v>
      </c>
      <c r="C22" s="16" t="n">
        <f aca="false">$E$11+(B22-1)*7</f>
        <v>46356</v>
      </c>
      <c r="D22" s="16" t="n">
        <f aca="false">C22+4</f>
        <v>46360</v>
      </c>
      <c r="E22" s="15" t="n">
        <f aca="false">COUNTIF('Theo dõi công việc'!$C$5:$C$200,B22)</f>
        <v>3</v>
      </c>
      <c r="F22" s="15" t="n">
        <f aca="false">COUNTIFS('Theo dõi công việc'!$C$5:$C$200,B22,'Theo dõi công việc'!$M$5:$M$200,"Hoàn thành")</f>
        <v>0</v>
      </c>
      <c r="G22" s="17" t="n">
        <f aca="false">IF(E22=0,"-",F22/E22)</f>
        <v>0</v>
      </c>
    </row>
    <row r="23" customFormat="false" ht="15" hidden="false" customHeight="false" outlineLevel="0" collapsed="false">
      <c r="B23" s="15" t="n">
        <v>9</v>
      </c>
      <c r="C23" s="16" t="n">
        <f aca="false">$E$11+(B23-1)*7</f>
        <v>46363</v>
      </c>
      <c r="D23" s="16" t="n">
        <f aca="false">C23+4</f>
        <v>46367</v>
      </c>
      <c r="E23" s="15" t="n">
        <f aca="false">COUNTIF('Theo dõi công việc'!$C$5:$C$200,B23)</f>
        <v>3</v>
      </c>
      <c r="F23" s="15" t="n">
        <f aca="false">COUNTIFS('Theo dõi công việc'!$C$5:$C$200,B23,'Theo dõi công việc'!$M$5:$M$200,"Hoàn thành")</f>
        <v>0</v>
      </c>
      <c r="G23" s="17" t="n">
        <f aca="false">IF(E23=0,"-",F23/E23)</f>
        <v>0</v>
      </c>
    </row>
    <row r="24" customFormat="false" ht="15" hidden="false" customHeight="false" outlineLevel="0" collapsed="false">
      <c r="B24" s="15" t="n">
        <v>10</v>
      </c>
      <c r="C24" s="16" t="n">
        <f aca="false">$E$11+(B24-1)*7</f>
        <v>46370</v>
      </c>
      <c r="D24" s="16" t="n">
        <f aca="false">C24+4</f>
        <v>46374</v>
      </c>
      <c r="E24" s="15" t="n">
        <f aca="false">COUNTIF('Theo dõi công việc'!$C$5:$C$200,B24)</f>
        <v>4</v>
      </c>
      <c r="F24" s="15" t="n">
        <f aca="false">COUNTIFS('Theo dõi công việc'!$C$5:$C$200,B24,'Theo dõi công việc'!$M$5:$M$200,"Hoàn thành")</f>
        <v>0</v>
      </c>
      <c r="G24" s="17" t="n">
        <f aca="false">IF(E24=0,"-",F24/E24)</f>
        <v>0</v>
      </c>
    </row>
    <row r="27" customFormat="false" ht="15" hidden="false" customHeight="false" outlineLevel="0" collapsed="false">
      <c r="B27" s="14" t="s">
        <v>32</v>
      </c>
    </row>
    <row r="28" customFormat="false" ht="15" hidden="false" customHeight="false" outlineLevel="0" collapsed="false">
      <c r="B28" s="11" t="s">
        <v>33</v>
      </c>
      <c r="C28" s="18" t="s">
        <v>34</v>
      </c>
    </row>
    <row r="29" customFormat="false" ht="15" hidden="false" customHeight="false" outlineLevel="0" collapsed="false">
      <c r="B29" s="11" t="s">
        <v>35</v>
      </c>
      <c r="C29" s="18" t="s">
        <v>36</v>
      </c>
    </row>
    <row r="30" customFormat="false" ht="15" hidden="false" customHeight="false" outlineLevel="0" collapsed="false">
      <c r="B30" s="11" t="s">
        <v>37</v>
      </c>
      <c r="C30" s="18" t="s">
        <v>38</v>
      </c>
    </row>
    <row r="31" customFormat="false" ht="15" hidden="false" customHeight="false" outlineLevel="0" collapsed="false">
      <c r="B31" s="11" t="s">
        <v>39</v>
      </c>
      <c r="C31" s="18" t="s">
        <v>40</v>
      </c>
    </row>
    <row r="32" customFormat="false" ht="15" hidden="false" customHeight="false" outlineLevel="0" collapsed="false">
      <c r="B32" s="11" t="s">
        <v>9</v>
      </c>
      <c r="C32" s="18" t="s">
        <v>41</v>
      </c>
    </row>
    <row r="33" customFormat="false" ht="15" hidden="false" customHeight="false" outlineLevel="0" collapsed="false">
      <c r="B33" s="11" t="s">
        <v>42</v>
      </c>
      <c r="C33" s="18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55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30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25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31.5" hidden="false" customHeight="true" outlineLevel="0" collapsed="false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39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37</v>
      </c>
      <c r="N4" s="3" t="s">
        <v>31</v>
      </c>
      <c r="O4" s="3" t="s">
        <v>57</v>
      </c>
    </row>
    <row r="5" customFormat="false" ht="26.85" hidden="false" customHeight="false" outlineLevel="0" collapsed="false">
      <c r="A5" s="19" t="n">
        <v>1</v>
      </c>
      <c r="B5" s="19" t="n">
        <v>1</v>
      </c>
      <c r="C5" s="19" t="n">
        <v>1</v>
      </c>
      <c r="D5" s="19" t="s">
        <v>58</v>
      </c>
      <c r="E5" s="20" t="s">
        <v>59</v>
      </c>
      <c r="F5" s="20" t="s">
        <v>60</v>
      </c>
      <c r="G5" s="19" t="s">
        <v>11</v>
      </c>
      <c r="H5" s="20" t="str">
        <f aca="false">IF(G5="Cả nhóm","Cả nhóm",IFERROR(INDEX('Tổng quan'!$C$5:$C$7,MATCH(G5,'Tổng quan'!$B$5:$B$7,0)),""))</f>
        <v>Người 1</v>
      </c>
      <c r="I5" s="20"/>
      <c r="J5" s="20" t="s">
        <v>61</v>
      </c>
      <c r="K5" s="21" t="n">
        <f aca="false">'Tổng quan'!$E$11+(B5-1)*7</f>
        <v>46307</v>
      </c>
      <c r="L5" s="21" t="n">
        <f aca="false">'Tổng quan'!$E$11+(C5-1)*7+4</f>
        <v>46311</v>
      </c>
      <c r="M5" s="22" t="inlineStr">
        <is>
          <t>Đang làm</t>
        </is>
      </c>
      <c r="N5" s="23" t="n">
        <v>80</v>
      </c>
      <c r="O5" s="24" t="inlineStr">
        <is>
          <t>Compose/Dockerfile build OK; MinIO+Postgres đã chạy. Chưa kiểm chứng webserver/scheduler end-to-end (21/10)</t>
        </is>
      </c>
    </row>
    <row r="6" customFormat="false" ht="26.85" hidden="false" customHeight="false" outlineLevel="0" collapsed="false">
      <c r="A6" s="19" t="n">
        <v>2</v>
      </c>
      <c r="B6" s="19" t="n">
        <v>1</v>
      </c>
      <c r="C6" s="19" t="n">
        <v>1</v>
      </c>
      <c r="D6" s="19" t="s">
        <v>58</v>
      </c>
      <c r="E6" s="20" t="s">
        <v>63</v>
      </c>
      <c r="F6" s="20" t="s">
        <v>64</v>
      </c>
      <c r="G6" s="19" t="s">
        <v>11</v>
      </c>
      <c r="H6" s="20" t="str">
        <f aca="false">IF(G6="Cả nhóm","Cả nhóm",IFERROR(INDEX('Tổng quan'!$C$5:$C$7,MATCH(G6,'Tổng quan'!$B$5:$B$7,0)),""))</f>
        <v>Người 1</v>
      </c>
      <c r="I6" s="20"/>
      <c r="J6" s="20" t="s">
        <v>65</v>
      </c>
      <c r="K6" s="21" t="n">
        <f aca="false">'Tổng quan'!$E$11+(B6-1)*7</f>
        <v>46307</v>
      </c>
      <c r="L6" s="21" t="n">
        <f aca="false">'Tổng quan'!$E$11+(C6-1)*7+4</f>
        <v>46311</v>
      </c>
      <c r="M6" s="22" t="inlineStr">
        <is>
          <t>Đang làm</t>
        </is>
      </c>
      <c r="N6" s="23" t="n">
        <v>90</v>
      </c>
      <c r="O6" s="24" t="inlineStr">
        <is>
          <t>Đã có 3 bucket và key đúng quy ước. Còn thiếu: Bronze chưa giữ nguyên payload gốc (_pipeline_metadata)</t>
        </is>
      </c>
    </row>
    <row r="7" customFormat="false" ht="15" hidden="false" customHeight="false" outlineLevel="0" collapsed="false">
      <c r="A7" s="19" t="n">
        <v>3</v>
      </c>
      <c r="B7" s="19" t="n">
        <v>1</v>
      </c>
      <c r="C7" s="19" t="n">
        <v>1</v>
      </c>
      <c r="D7" s="19" t="s">
        <v>58</v>
      </c>
      <c r="E7" s="20" t="s">
        <v>66</v>
      </c>
      <c r="F7" s="20" t="s">
        <v>67</v>
      </c>
      <c r="G7" s="19" t="s">
        <v>14</v>
      </c>
      <c r="H7" s="20" t="str">
        <f aca="false">IF(G7="Cả nhóm","Cả nhóm",IFERROR(INDEX('Tổng quan'!$C$5:$C$7,MATCH(G7,'Tổng quan'!$B$5:$B$7,0)),""))</f>
        <v>Người 2</v>
      </c>
      <c r="I7" s="20" t="s">
        <v>17</v>
      </c>
      <c r="J7" s="20" t="s">
        <v>68</v>
      </c>
      <c r="K7" s="21" t="n">
        <f aca="false">'Tổng quan'!$E$11+(B7-1)*7</f>
        <v>46307</v>
      </c>
      <c r="L7" s="21" t="n">
        <f aca="false">'Tổng quan'!$E$11+(C7-1)*7+4</f>
        <v>46311</v>
      </c>
      <c r="M7" s="22" t="inlineStr">
        <is>
          <t>Đang làm</t>
        </is>
      </c>
      <c r="N7" s="23" t="n">
        <v>80</v>
      </c>
      <c r="O7" s="24" t="inlineStr">
        <is>
          <t>DDL + sơ đồ star schema (outputs/dfd-weather-20261013). Còn mở: cơ sở lịch, nhiều trạm, prediction</t>
        </is>
      </c>
    </row>
    <row r="8" customFormat="false" ht="26.85" hidden="false" customHeight="false" outlineLevel="0" collapsed="false">
      <c r="A8" s="19" t="n">
        <v>4</v>
      </c>
      <c r="B8" s="19" t="n">
        <v>1</v>
      </c>
      <c r="C8" s="19" t="n">
        <v>1</v>
      </c>
      <c r="D8" s="19" t="s">
        <v>58</v>
      </c>
      <c r="E8" s="20" t="s">
        <v>69</v>
      </c>
      <c r="F8" s="20" t="s">
        <v>70</v>
      </c>
      <c r="G8" s="19" t="s">
        <v>14</v>
      </c>
      <c r="H8" s="20" t="str">
        <f aca="false">IF(G8="Cả nhóm","Cả nhóm",IFERROR(INDEX('Tổng quan'!$C$5:$C$7,MATCH(G8,'Tổng quan'!$B$5:$B$7,0)),""))</f>
        <v>Người 2</v>
      </c>
      <c r="I8" s="20"/>
      <c r="J8" s="20" t="s">
        <v>71</v>
      </c>
      <c r="K8" s="21" t="n">
        <f aca="false">'Tổng quan'!$E$11+(B8-1)*7</f>
        <v>46307</v>
      </c>
      <c r="L8" s="21" t="n">
        <f aca="false">'Tổng quan'!$E$11+(C8-1)*7+4</f>
        <v>46311</v>
      </c>
      <c r="M8" s="22" t="s">
        <v>62</v>
      </c>
      <c r="N8" s="23" t="n">
        <v>0</v>
      </c>
      <c r="O8" s="24"/>
    </row>
    <row r="9" customFormat="false" ht="26.85" hidden="false" customHeight="false" outlineLevel="0" collapsed="false">
      <c r="A9" s="19" t="n">
        <v>5</v>
      </c>
      <c r="B9" s="19" t="n">
        <v>1</v>
      </c>
      <c r="C9" s="19" t="n">
        <v>1</v>
      </c>
      <c r="D9" s="19" t="s">
        <v>58</v>
      </c>
      <c r="E9" s="20" t="s">
        <v>69</v>
      </c>
      <c r="F9" s="20" t="s">
        <v>72</v>
      </c>
      <c r="G9" s="19" t="s">
        <v>17</v>
      </c>
      <c r="H9" s="20" t="str">
        <f aca="false">IF(G9="Cả nhóm","Cả nhóm",IFERROR(INDEX('Tổng quan'!$C$5:$C$7,MATCH(G9,'Tổng quan'!$B$5:$B$7,0)),""))</f>
        <v>Người 3</v>
      </c>
      <c r="I9" s="20"/>
      <c r="J9" s="20" t="s">
        <v>73</v>
      </c>
      <c r="K9" s="21" t="n">
        <f aca="false">'Tổng quan'!$E$11+(B9-1)*7</f>
        <v>46307</v>
      </c>
      <c r="L9" s="21" t="n">
        <f aca="false">'Tổng quan'!$E$11+(C9-1)*7+4</f>
        <v>46311</v>
      </c>
      <c r="M9" s="22" t="s">
        <v>62</v>
      </c>
      <c r="N9" s="23" t="n">
        <v>0</v>
      </c>
      <c r="O9" s="24"/>
    </row>
    <row r="10" customFormat="false" ht="26.85" hidden="false" customHeight="false" outlineLevel="0" collapsed="false">
      <c r="A10" s="19" t="n">
        <v>6</v>
      </c>
      <c r="B10" s="19" t="n">
        <v>1</v>
      </c>
      <c r="C10" s="19" t="n">
        <v>1</v>
      </c>
      <c r="D10" s="19" t="s">
        <v>58</v>
      </c>
      <c r="E10" s="20" t="s">
        <v>74</v>
      </c>
      <c r="F10" s="20" t="s">
        <v>75</v>
      </c>
      <c r="G10" s="19" t="s">
        <v>20</v>
      </c>
      <c r="H10" s="20" t="str">
        <f aca="false">IF(G10="Cả nhóm","Cả nhóm",IFERROR(INDEX('Tổng quan'!$C$5:$C$7,MATCH(G10,'Tổng quan'!$B$5:$B$7,0)),""))</f>
        <v>Cả nhóm</v>
      </c>
      <c r="I10" s="20"/>
      <c r="J10" s="20" t="s">
        <v>76</v>
      </c>
      <c r="K10" s="21" t="n">
        <f aca="false">'Tổng quan'!$E$11+(B10-1)*7</f>
        <v>46307</v>
      </c>
      <c r="L10" s="21" t="n">
        <f aca="false">'Tổng quan'!$E$11+(C10-1)*7+4</f>
        <v>46311</v>
      </c>
      <c r="M10" s="22" t="inlineStr">
        <is>
          <t>Hoàn thành</t>
        </is>
      </c>
      <c r="N10" s="23" t="n">
        <v>100</v>
      </c>
      <c r="O10" s="24" t="inlineStr">
        <is>
          <t>Hoàn thành 21/10: data-contract.md v0.2 (cột/đơn vị/UTC/pressure_type/xử lý trùng/chọn trạm/báo cáo độ phủ). Nhóm xác nhận (qua N1/N2). Còn để mở có ghi rõ: ngưỡng độ phủ tối thiểu</t>
        </is>
      </c>
    </row>
    <row r="11" customFormat="false" ht="26.85" hidden="false" customHeight="false" outlineLevel="0" collapsed="false">
      <c r="A11" s="19" t="n">
        <v>7</v>
      </c>
      <c r="B11" s="19" t="n">
        <v>1</v>
      </c>
      <c r="C11" s="19" t="n">
        <v>1</v>
      </c>
      <c r="D11" s="19" t="s">
        <v>58</v>
      </c>
      <c r="E11" s="20" t="s">
        <v>74</v>
      </c>
      <c r="F11" s="20" t="s">
        <v>77</v>
      </c>
      <c r="G11" s="19" t="s">
        <v>20</v>
      </c>
      <c r="H11" s="20" t="str">
        <f aca="false">IF(G11="Cả nhóm","Cả nhóm",IFERROR(INDEX('Tổng quan'!$C$5:$C$7,MATCH(G11,'Tổng quan'!$B$5:$B$7,0)),""))</f>
        <v>Cả nhóm</v>
      </c>
      <c r="I11" s="20"/>
      <c r="J11" s="20" t="s">
        <v>78</v>
      </c>
      <c r="K11" s="21" t="n">
        <f aca="false">'Tổng quan'!$E$11+(B11-1)*7</f>
        <v>46307</v>
      </c>
      <c r="L11" s="21" t="n">
        <f aca="false">'Tổng quan'!$E$11+(C11-1)*7+4</f>
        <v>46311</v>
      </c>
      <c r="M11" s="22" t="inlineStr">
        <is>
          <t>Hoàn thành</t>
        </is>
      </c>
      <c r="N11" s="23" t="n">
        <v>100</v>
      </c>
      <c r="O11" s="24" t="inlineStr">
        <is>
          <t>Hoàn thành 21/10: rain-label.md v0.2: ngưỡng 1 mm (Yes 50,5% trên 2016–2025), nguồn Open-Meteo, cửa sổ (t,t+24h] đã kiểm chứng, thiếu giờ thì bỏ nhãn. Nhóm xác nhận (qua N1/N2). Còn để mở có ghi rõ: fallback ERA5</t>
        </is>
      </c>
    </row>
    <row r="12" customFormat="false" ht="15" hidden="false" customHeight="false" outlineLevel="0" collapsed="false">
      <c r="A12" s="19" t="n">
        <v>8</v>
      </c>
      <c r="B12" s="19" t="n">
        <v>2</v>
      </c>
      <c r="C12" s="19" t="n">
        <v>3</v>
      </c>
      <c r="D12" s="19" t="s">
        <v>79</v>
      </c>
      <c r="E12" s="20" t="s">
        <v>69</v>
      </c>
      <c r="F12" s="20" t="s">
        <v>80</v>
      </c>
      <c r="G12" s="19" t="s">
        <v>11</v>
      </c>
      <c r="H12" s="20" t="str">
        <f aca="false">IF(G12="Cả nhóm","Cả nhóm",IFERROR(INDEX('Tổng quan'!$C$5:$C$7,MATCH(G12,'Tổng quan'!$B$5:$B$7,0)),""))</f>
        <v>Người 1</v>
      </c>
      <c r="I12" s="20"/>
      <c r="J12" s="20" t="s">
        <v>81</v>
      </c>
      <c r="K12" s="21" t="n">
        <f aca="false">'Tổng quan'!$E$11+(B12-1)*7</f>
        <v>46314</v>
      </c>
      <c r="L12" s="21" t="n">
        <f aca="false">'Tổng quan'!$E$11+(C12-1)*7+4</f>
        <v>46325</v>
      </c>
      <c r="M12" s="22" t="inlineStr">
        <is>
          <t>Đang làm</t>
        </is>
      </c>
      <c r="N12" s="23" t="n">
        <v>80</v>
      </c>
      <c r="O12" s="24" t="inlineStr">
        <is>
          <t>21/10: chạy lại trên máy N1/N2: 80/80 file Bronze (8 điểm × 2016–2025), 0 lỗi, 326 s. Còn lệch: Bronze chưa giữ nguyên payload gốc, thiếu manifest</t>
        </is>
      </c>
    </row>
    <row r="13" customFormat="false" ht="15" hidden="false" customHeight="false" outlineLevel="0" collapsed="false">
      <c r="A13" s="19" t="n">
        <v>9</v>
      </c>
      <c r="B13" s="19" t="n">
        <v>2</v>
      </c>
      <c r="C13" s="19" t="n">
        <v>3</v>
      </c>
      <c r="D13" s="19" t="s">
        <v>79</v>
      </c>
      <c r="E13" s="20" t="s">
        <v>69</v>
      </c>
      <c r="F13" s="20" t="s">
        <v>82</v>
      </c>
      <c r="G13" s="19" t="s">
        <v>11</v>
      </c>
      <c r="H13" s="20" t="str">
        <f aca="false">IF(G13="Cả nhóm","Cả nhóm",IFERROR(INDEX('Tổng quan'!$C$5:$C$7,MATCH(G13,'Tổng quan'!$B$5:$B$7,0)),""))</f>
        <v>Người 1</v>
      </c>
      <c r="I13" s="20"/>
      <c r="J13" s="20" t="s">
        <v>83</v>
      </c>
      <c r="K13" s="21" t="n">
        <f aca="false">'Tổng quan'!$E$11+(B13-1)*7</f>
        <v>46314</v>
      </c>
      <c r="L13" s="21" t="n">
        <f aca="false">'Tổng quan'!$E$11+(C13-1)*7+4</f>
        <v>46325</v>
      </c>
      <c r="M13" s="22" t="inlineStr">
        <is>
          <t>Đang làm</t>
        </is>
      </c>
      <c r="N13" s="23" t="n">
        <v>95</v>
      </c>
      <c r="O13" s="24" t="inlineStr">
        <is>
          <t>21/10: Meteostat chỉ giữ quan trắc thật (HAN). NOAA GHCNh mưa 24h cho 5 điểm (HPH, TNG, LCA, HAN≈Hà Đông, NBI≈Nam Định) 2016–2025: 17.866 ngày, độ phủ 95,9–99,2%, bảng fact_station_daily_rain + view so sánh với Open-Meteo. Chờ nhóm duyệt quy tắc cực trị 300 mm</t>
        </is>
      </c>
    </row>
    <row r="14" customFormat="false" ht="26.85" hidden="false" customHeight="false" outlineLevel="0" collapsed="false">
      <c r="A14" s="19" t="n">
        <v>10</v>
      </c>
      <c r="B14" s="19" t="n">
        <v>2</v>
      </c>
      <c r="C14" s="19" t="n">
        <v>3</v>
      </c>
      <c r="D14" s="19" t="s">
        <v>79</v>
      </c>
      <c r="E14" s="20" t="s">
        <v>84</v>
      </c>
      <c r="F14" s="20" t="s">
        <v>85</v>
      </c>
      <c r="G14" s="19" t="s">
        <v>11</v>
      </c>
      <c r="H14" s="20" t="str">
        <f aca="false">IF(G14="Cả nhóm","Cả nhóm",IFERROR(INDEX('Tổng quan'!$C$5:$C$7,MATCH(G14,'Tổng quan'!$B$5:$B$7,0)),""))</f>
        <v>Người 1</v>
      </c>
      <c r="I14" s="20"/>
      <c r="J14" s="20" t="s">
        <v>86</v>
      </c>
      <c r="K14" s="21" t="n">
        <f aca="false">'Tổng quan'!$E$11+(B14-1)*7</f>
        <v>46314</v>
      </c>
      <c r="L14" s="21" t="n">
        <f aca="false">'Tổng quan'!$E$11+(C14-1)*7+4</f>
        <v>46325</v>
      </c>
      <c r="M14" s="22" t="inlineStr">
        <is>
          <t>Đang làm</t>
        </is>
      </c>
      <c r="N14" s="23" t="n">
        <v>90</v>
      </c>
      <c r="O14" s="24" t="inlineStr">
        <is>
          <t>21/10: Silver chạy lại: Open-Meteo 701.376 dòng; Meteostat 87.485 dòng sau khi loại 436.502 giá trị mô hình và 43.575 dòng không có quan trắc; 60 file Silver cũ đã xóa; 0 xung đột, 0 lỗi</t>
        </is>
      </c>
    </row>
    <row r="15" customFormat="false" ht="26.85" hidden="false" customHeight="false" outlineLevel="0" collapsed="false">
      <c r="A15" s="19" t="n">
        <v>11</v>
      </c>
      <c r="B15" s="19" t="n">
        <v>2</v>
      </c>
      <c r="C15" s="19" t="n">
        <v>3</v>
      </c>
      <c r="D15" s="19" t="s">
        <v>79</v>
      </c>
      <c r="E15" s="20" t="s">
        <v>66</v>
      </c>
      <c r="F15" s="20" t="s">
        <v>87</v>
      </c>
      <c r="G15" s="19" t="s">
        <v>14</v>
      </c>
      <c r="H15" s="20" t="str">
        <f aca="false">IF(G15="Cả nhóm","Cả nhóm",IFERROR(INDEX('Tổng quan'!$C$5:$C$7,MATCH(G15,'Tổng quan'!$B$5:$B$7,0)),""))</f>
        <v>Người 2</v>
      </c>
      <c r="I15" s="20"/>
      <c r="J15" s="20" t="s">
        <v>88</v>
      </c>
      <c r="K15" s="21" t="n">
        <f aca="false">'Tổng quan'!$E$11+(B15-1)*7</f>
        <v>46314</v>
      </c>
      <c r="L15" s="21" t="n">
        <f aca="false">'Tổng quan'!$E$11+(C15-1)*7+4</f>
        <v>46325</v>
      </c>
      <c r="M15" s="22" t="inlineStr">
        <is>
          <t>Đang làm</t>
        </is>
      </c>
      <c r="N15" s="23" t="n">
        <v>60</v>
      </c>
      <c r="O15" s="24" t="inlineStr">
        <is>
          <t>21/10: mã/tọa độ trạm đã xác minh (Meteostat + NOAA ISD), dim_station seed lại 11 trạm. Hợp lệ: HAN 48820, HPH 48826, TNG 48831, LCA 48803. Ánh xạ tỉnh cũ-mới chưa làm</t>
        </is>
      </c>
    </row>
    <row r="16" customFormat="false" ht="26.85" hidden="false" customHeight="false" outlineLevel="0" collapsed="false">
      <c r="A16" s="19" t="n">
        <v>12</v>
      </c>
      <c r="B16" s="19" t="n">
        <v>2</v>
      </c>
      <c r="C16" s="19" t="n">
        <v>3</v>
      </c>
      <c r="D16" s="19" t="s">
        <v>79</v>
      </c>
      <c r="E16" s="20" t="s">
        <v>66</v>
      </c>
      <c r="F16" s="20" t="s">
        <v>89</v>
      </c>
      <c r="G16" s="19" t="s">
        <v>14</v>
      </c>
      <c r="H16" s="20" t="str">
        <f aca="false">IF(G16="Cả nhóm","Cả nhóm",IFERROR(INDEX('Tổng quan'!$C$5:$C$7,MATCH(G16,'Tổng quan'!$B$5:$B$7,0)),""))</f>
        <v>Người 2</v>
      </c>
      <c r="I16" s="20"/>
      <c r="J16" s="20" t="s">
        <v>90</v>
      </c>
      <c r="K16" s="21" t="n">
        <f aca="false">'Tổng quan'!$E$11+(B16-1)*7</f>
        <v>46314</v>
      </c>
      <c r="L16" s="21" t="n">
        <f aca="false">'Tổng quan'!$E$11+(C16-1)*7+4</f>
        <v>46325</v>
      </c>
      <c r="M16" s="22" t="inlineStr">
        <is>
          <t>Đang làm</t>
        </is>
      </c>
      <c r="N16" s="23" t="n">
        <v>90</v>
      </c>
      <c r="O16" s="24" t="inlineStr">
        <is>
          <t>dim_date 4.018 ngày, seed chạy lại ổn; cơ sở lịch UTC+7 cần cả nhóm xác nhận</t>
        </is>
      </c>
    </row>
    <row r="17" customFormat="false" ht="15" hidden="false" customHeight="false" outlineLevel="0" collapsed="false">
      <c r="A17" s="19" t="n">
        <v>13</v>
      </c>
      <c r="B17" s="19" t="n">
        <v>2</v>
      </c>
      <c r="C17" s="19" t="n">
        <v>3</v>
      </c>
      <c r="D17" s="19" t="s">
        <v>79</v>
      </c>
      <c r="E17" s="20" t="s">
        <v>66</v>
      </c>
      <c r="F17" s="20" t="s">
        <v>91</v>
      </c>
      <c r="G17" s="19" t="s">
        <v>14</v>
      </c>
      <c r="H17" s="20" t="str">
        <f aca="false">IF(G17="Cả nhóm","Cả nhóm",IFERROR(INDEX('Tổng quan'!$C$5:$C$7,MATCH(G17,'Tổng quan'!$B$5:$B$7,0)),""))</f>
        <v>Người 2</v>
      </c>
      <c r="I17" s="20"/>
      <c r="J17" s="20" t="s">
        <v>92</v>
      </c>
      <c r="K17" s="21" t="n">
        <f aca="false">'Tổng quan'!$E$11+(B17-1)*7</f>
        <v>46314</v>
      </c>
      <c r="L17" s="21" t="n">
        <f aca="false">'Tổng quan'!$E$11+(C17-1)*7+4</f>
        <v>46325</v>
      </c>
      <c r="M17" s="22" t="inlineStr">
        <is>
          <t>Đang làm</t>
        </is>
      </c>
      <c r="N17" s="23" t="n">
        <v>80</v>
      </c>
      <c r="O17" s="24" t="inlineStr">
        <is>
          <t>DDL chạy được trên Postgres; chưa có migration cho DB đã tồn tại</t>
        </is>
      </c>
    </row>
    <row r="18" customFormat="false" ht="15" hidden="false" customHeight="false" outlineLevel="0" collapsed="false">
      <c r="A18" s="19" t="n">
        <v>14</v>
      </c>
      <c r="B18" s="19" t="n">
        <v>2</v>
      </c>
      <c r="C18" s="19" t="n">
        <v>3</v>
      </c>
      <c r="D18" s="19" t="s">
        <v>79</v>
      </c>
      <c r="E18" s="20" t="s">
        <v>69</v>
      </c>
      <c r="F18" s="20" t="s">
        <v>93</v>
      </c>
      <c r="G18" s="19" t="s">
        <v>17</v>
      </c>
      <c r="H18" s="20" t="str">
        <f aca="false">IF(G18="Cả nhóm","Cả nhóm",IFERROR(INDEX('Tổng quan'!$C$5:$C$7,MATCH(G18,'Tổng quan'!$B$5:$B$7,0)),""))</f>
        <v>Người 3</v>
      </c>
      <c r="I18" s="20"/>
      <c r="J18" s="20" t="s">
        <v>94</v>
      </c>
      <c r="K18" s="21" t="n">
        <f aca="false">'Tổng quan'!$E$11+(B18-1)*7</f>
        <v>46314</v>
      </c>
      <c r="L18" s="21" t="n">
        <f aca="false">'Tổng quan'!$E$11+(C18-1)*7+4</f>
        <v>46325</v>
      </c>
      <c r="M18" s="22" t="s">
        <v>62</v>
      </c>
      <c r="N18" s="23" t="n">
        <v>0</v>
      </c>
      <c r="O18" s="24"/>
    </row>
    <row r="19" customFormat="false" ht="26.85" hidden="false" customHeight="false" outlineLevel="0" collapsed="false">
      <c r="A19" s="19" t="n">
        <v>15</v>
      </c>
      <c r="B19" s="19" t="n">
        <v>2</v>
      </c>
      <c r="C19" s="19" t="n">
        <v>3</v>
      </c>
      <c r="D19" s="19" t="s">
        <v>79</v>
      </c>
      <c r="E19" s="20" t="s">
        <v>84</v>
      </c>
      <c r="F19" s="20" t="s">
        <v>95</v>
      </c>
      <c r="G19" s="19" t="s">
        <v>17</v>
      </c>
      <c r="H19" s="20" t="str">
        <f aca="false">IF(G19="Cả nhóm","Cả nhóm",IFERROR(INDEX('Tổng quan'!$C$5:$C$7,MATCH(G19,'Tổng quan'!$B$5:$B$7,0)),""))</f>
        <v>Người 3</v>
      </c>
      <c r="I19" s="20"/>
      <c r="J19" s="20" t="s">
        <v>96</v>
      </c>
      <c r="K19" s="21" t="n">
        <f aca="false">'Tổng quan'!$E$11+(B19-1)*7</f>
        <v>46314</v>
      </c>
      <c r="L19" s="21" t="n">
        <f aca="false">'Tổng quan'!$E$11+(C19-1)*7+4</f>
        <v>46325</v>
      </c>
      <c r="M19" s="22" t="s">
        <v>62</v>
      </c>
      <c r="N19" s="23" t="n">
        <v>0</v>
      </c>
      <c r="O19" s="24"/>
    </row>
    <row r="20" customFormat="false" ht="15" hidden="false" customHeight="false" outlineLevel="0" collapsed="false">
      <c r="A20" s="19" t="n">
        <v>16</v>
      </c>
      <c r="B20" s="19" t="n">
        <v>4</v>
      </c>
      <c r="C20" s="19" t="n">
        <v>5</v>
      </c>
      <c r="D20" s="19" t="s">
        <v>97</v>
      </c>
      <c r="E20" s="20" t="s">
        <v>98</v>
      </c>
      <c r="F20" s="20" t="s">
        <v>99</v>
      </c>
      <c r="G20" s="19" t="s">
        <v>11</v>
      </c>
      <c r="H20" s="20" t="str">
        <f aca="false">IF(G20="Cả nhóm","Cả nhóm",IFERROR(INDEX('Tổng quan'!$C$5:$C$7,MATCH(G20,'Tổng quan'!$B$5:$B$7,0)),""))</f>
        <v>Người 1</v>
      </c>
      <c r="I20" s="20"/>
      <c r="J20" s="20" t="s">
        <v>100</v>
      </c>
      <c r="K20" s="21" t="n">
        <f aca="false">'Tổng quan'!$E$11+(B20-1)*7</f>
        <v>46328</v>
      </c>
      <c r="L20" s="21" t="n">
        <f aca="false">'Tổng quan'!$E$11+(C20-1)*7+4</f>
        <v>46339</v>
      </c>
      <c r="M20" s="22" t="inlineStr">
        <is>
          <t>Đang làm</t>
        </is>
      </c>
      <c r="N20" s="23" t="n">
        <v>80</v>
      </c>
      <c r="O20" s="24" t="inlineStr">
        <is>
          <t>21/10: Gold 2016–2025 nạp lại trên máy N1/N2: 832.436 dòng, 120 tháng, 0 lỗi, 233 s. Chưa tách bảng pivot cho ML</t>
        </is>
      </c>
    </row>
    <row r="21" customFormat="false" ht="26.85" hidden="false" customHeight="false" outlineLevel="0" collapsed="false">
      <c r="A21" s="19" t="n">
        <v>17</v>
      </c>
      <c r="B21" s="19" t="n">
        <v>4</v>
      </c>
      <c r="C21" s="19" t="n">
        <v>5</v>
      </c>
      <c r="D21" s="19" t="s">
        <v>97</v>
      </c>
      <c r="E21" s="20" t="s">
        <v>101</v>
      </c>
      <c r="F21" s="20" t="s">
        <v>102</v>
      </c>
      <c r="G21" s="19" t="s">
        <v>11</v>
      </c>
      <c r="H21" s="20" t="str">
        <f aca="false">IF(G21="Cả nhóm","Cả nhóm",IFERROR(INDEX('Tổng quan'!$C$5:$C$7,MATCH(G21,'Tổng quan'!$B$5:$B$7,0)),""))</f>
        <v>Người 1</v>
      </c>
      <c r="I21" s="20" t="s">
        <v>14</v>
      </c>
      <c r="J21" s="20" t="s">
        <v>103</v>
      </c>
      <c r="K21" s="21" t="n">
        <f aca="false">'Tổng quan'!$E$11+(B21-1)*7</f>
        <v>46328</v>
      </c>
      <c r="L21" s="21" t="n">
        <f aca="false">'Tổng quan'!$E$11+(C21-1)*7+4</f>
        <v>46339</v>
      </c>
      <c r="M21" s="22" t="s">
        <v>62</v>
      </c>
      <c r="N21" s="23" t="n">
        <v>0</v>
      </c>
      <c r="O21" s="24"/>
    </row>
    <row r="22" customFormat="false" ht="15" hidden="false" customHeight="false" outlineLevel="0" collapsed="false">
      <c r="A22" s="19" t="n">
        <v>18</v>
      </c>
      <c r="B22" s="19" t="n">
        <v>4</v>
      </c>
      <c r="C22" s="19" t="n">
        <v>5</v>
      </c>
      <c r="D22" s="19" t="s">
        <v>97</v>
      </c>
      <c r="E22" s="20" t="s">
        <v>66</v>
      </c>
      <c r="F22" s="20" t="s">
        <v>104</v>
      </c>
      <c r="G22" s="19" t="s">
        <v>14</v>
      </c>
      <c r="H22" s="20" t="str">
        <f aca="false">IF(G22="Cả nhóm","Cả nhóm",IFERROR(INDEX('Tổng quan'!$C$5:$C$7,MATCH(G22,'Tổng quan'!$B$5:$B$7,0)),""))</f>
        <v>Người 2</v>
      </c>
      <c r="I22" s="20"/>
      <c r="J22" s="20" t="s">
        <v>105</v>
      </c>
      <c r="K22" s="21" t="n">
        <f aca="false">'Tổng quan'!$E$11+(B22-1)*7</f>
        <v>46328</v>
      </c>
      <c r="L22" s="21" t="n">
        <f aca="false">'Tổng quan'!$E$11+(C22-1)*7+4</f>
        <v>46339</v>
      </c>
      <c r="M22" s="22" t="inlineStr">
        <is>
          <t>Đang làm</t>
        </is>
      </c>
      <c r="N22" s="23" t="n">
        <v>95</v>
      </c>
      <c r="O22" s="24" t="inlineStr">
        <is>
          <t>21/10: DW sạch: 788.861 dòng (Open-Meteo 701.376 + Meteostat HAN 87.485), 0 trùng khóa; rút dòng sai đã kiểm chứng trên dữ liệu thật; chạy lại 2024 không đổi số liệu. Lần nạp cuối chậm (3.493 s, máy có thể đã ngủ). Bản 994.145 dòng trên máy bacnx đã lỗi thời</t>
        </is>
      </c>
    </row>
    <row r="23" customFormat="false" ht="26.85" hidden="false" customHeight="false" outlineLevel="0" collapsed="false">
      <c r="A23" s="19" t="n">
        <v>19</v>
      </c>
      <c r="B23" s="19" t="n">
        <v>4</v>
      </c>
      <c r="C23" s="19" t="n">
        <v>5</v>
      </c>
      <c r="D23" s="19" t="s">
        <v>97</v>
      </c>
      <c r="E23" s="20" t="s">
        <v>106</v>
      </c>
      <c r="F23" s="20" t="s">
        <v>107</v>
      </c>
      <c r="G23" s="19" t="s">
        <v>14</v>
      </c>
      <c r="H23" s="20" t="str">
        <f aca="false">IF(G23="Cả nhóm","Cả nhóm",IFERROR(INDEX('Tổng quan'!$C$5:$C$7,MATCH(G23,'Tổng quan'!$B$5:$B$7,0)),""))</f>
        <v>Người 2</v>
      </c>
      <c r="I23" s="20"/>
      <c r="J23" s="20" t="s">
        <v>108</v>
      </c>
      <c r="K23" s="21" t="n">
        <f aca="false">'Tổng quan'!$E$11+(B23-1)*7</f>
        <v>46328</v>
      </c>
      <c r="L23" s="21" t="n">
        <f aca="false">'Tổng quan'!$E$11+(C23-1)*7+4</f>
        <v>46339</v>
      </c>
      <c r="M23" s="22" t="inlineStr">
        <is>
          <t>Đang làm</t>
        </is>
      </c>
      <c r="N23" s="23" t="n">
        <v>90</v>
      </c>
      <c r="O23" s="24" t="inlineStr">
        <is>
          <t>21/10: sql/02_olap_views.sql (6 view giờ/ngày/tháng/năm/độ phủ), ngày mưa ≥1 mm, ngày nóng ≥35 °C; đối soát giờ→ngày→tháng→năm khớp 0 chênh trên 788.861 dòng; 3 test tích hợp. Chưa dùng trong Power BI</t>
        </is>
      </c>
    </row>
    <row r="24" customFormat="false" ht="15" hidden="false" customHeight="false" outlineLevel="0" collapsed="false">
      <c r="A24" s="19" t="n">
        <v>20</v>
      </c>
      <c r="B24" s="19" t="n">
        <v>4</v>
      </c>
      <c r="C24" s="19" t="n">
        <v>5</v>
      </c>
      <c r="D24" s="19" t="s">
        <v>97</v>
      </c>
      <c r="E24" s="20" t="s">
        <v>109</v>
      </c>
      <c r="F24" s="20" t="s">
        <v>110</v>
      </c>
      <c r="G24" s="19" t="s">
        <v>14</v>
      </c>
      <c r="H24" s="20" t="str">
        <f aca="false">IF(G24="Cả nhóm","Cả nhóm",IFERROR(INDEX('Tổng quan'!$C$5:$C$7,MATCH(G24,'Tổng quan'!$B$5:$B$7,0)),""))</f>
        <v>Người 2</v>
      </c>
      <c r="I24" s="20"/>
      <c r="J24" s="20" t="s">
        <v>111</v>
      </c>
      <c r="K24" s="21" t="n">
        <f aca="false">'Tổng quan'!$E$11+(B24-1)*7</f>
        <v>46328</v>
      </c>
      <c r="L24" s="21" t="n">
        <f aca="false">'Tổng quan'!$E$11+(C24-1)*7+4</f>
        <v>46339</v>
      </c>
      <c r="M24" s="22" t="inlineStr">
        <is>
          <t>Đang làm</t>
        </is>
      </c>
      <c r="N24" s="23" t="n">
        <v>30</v>
      </c>
      <c r="O24" s="24" t="inlineStr">
        <is>
          <t>21/10: có hướng dẫn dựng (docs/powerbi-dashboard-v1.md): mô hình, DAX, 5 trang, bảng số đối chiếu. Chưa có file .pbix (cần máy Windows), chưa kiểm tra trong Power BI</t>
        </is>
      </c>
    </row>
    <row r="25" customFormat="false" ht="15" hidden="false" customHeight="false" outlineLevel="0" collapsed="false">
      <c r="A25" s="19" t="n">
        <v>21</v>
      </c>
      <c r="B25" s="19" t="n">
        <v>4</v>
      </c>
      <c r="C25" s="19" t="n">
        <v>5</v>
      </c>
      <c r="D25" s="19" t="s">
        <v>97</v>
      </c>
      <c r="E25" s="20" t="s">
        <v>112</v>
      </c>
      <c r="F25" s="20" t="s">
        <v>113</v>
      </c>
      <c r="G25" s="19" t="s">
        <v>17</v>
      </c>
      <c r="H25" s="20" t="str">
        <f aca="false">IF(G25="Cả nhóm","Cả nhóm",IFERROR(INDEX('Tổng quan'!$C$5:$C$7,MATCH(G25,'Tổng quan'!$B$5:$B$7,0)),""))</f>
        <v>Người 3</v>
      </c>
      <c r="I25" s="20"/>
      <c r="J25" s="20" t="s">
        <v>114</v>
      </c>
      <c r="K25" s="21" t="n">
        <f aca="false">'Tổng quan'!$E$11+(B25-1)*7</f>
        <v>46328</v>
      </c>
      <c r="L25" s="21" t="n">
        <f aca="false">'Tổng quan'!$E$11+(C25-1)*7+4</f>
        <v>46339</v>
      </c>
      <c r="M25" s="22" t="inlineStr">
        <is>
          <t>Đang làm</t>
        </is>
      </c>
      <c r="N25" s="23" t="n">
        <v>90</v>
      </c>
      <c r="O25" s="24" t="inlineStr">
        <is>
          <t>21/10: notebooks/eda_rain_next24h.ipynb (chạy trên dữ liệu thật, chỉ dùng tập train để chọn biến): mùa vụ mạnh (T8 78%, T12 26%), giờ trong ngày gần như không ảnh hưởng, biến tách tốt nhất: điểm sương, mưa 24h trước, độ ẩm, áp suất. Logic trong scripts/rain_eda.py có test. Do N1/N2 làm thay N3</t>
        </is>
      </c>
    </row>
    <row r="26" customFormat="false" ht="15" hidden="false" customHeight="false" outlineLevel="0" collapsed="false">
      <c r="A26" s="19" t="n">
        <v>22</v>
      </c>
      <c r="B26" s="19" t="n">
        <v>4</v>
      </c>
      <c r="C26" s="19" t="n">
        <v>5</v>
      </c>
      <c r="D26" s="19" t="s">
        <v>97</v>
      </c>
      <c r="E26" s="20" t="s">
        <v>112</v>
      </c>
      <c r="F26" s="20" t="s">
        <v>115</v>
      </c>
      <c r="G26" s="19" t="s">
        <v>17</v>
      </c>
      <c r="H26" s="20" t="str">
        <f aca="false">IF(G26="Cả nhóm","Cả nhóm",IFERROR(INDEX('Tổng quan'!$C$5:$C$7,MATCH(G26,'Tổng quan'!$B$5:$B$7,0)),""))</f>
        <v>Người 3</v>
      </c>
      <c r="I26" s="20"/>
      <c r="J26" s="20" t="s">
        <v>116</v>
      </c>
      <c r="K26" s="21" t="n">
        <f aca="false">'Tổng quan'!$E$11+(B26-1)*7</f>
        <v>46328</v>
      </c>
      <c r="L26" s="21" t="n">
        <f aca="false">'Tổng quan'!$E$11+(C26-1)*7+4</f>
        <v>46339</v>
      </c>
      <c r="M26" s="22" t="inlineStr">
        <is>
          <t>Đang làm</t>
        </is>
      </c>
      <c r="N26" s="23" t="n">
        <v>95</v>
      </c>
      <c r="O26" s="24" t="inlineStr">
        <is>
          <t>21/10: gold/ml_labels/rain_next24h_labels_v1.parquet + manifest: 700.800 nhãn dùng được (train 560.832 / val 70.080 / test 69.888; Yes 50,9% / 49,4% / 49,0%), 576 mẫu loại ở ranh giới. Test t/t+1/t+24/t+25, thiếu giờ, ranh giới. Do N1/N2 làm thay N3</t>
        </is>
      </c>
    </row>
    <row r="27" customFormat="false" ht="26.85" hidden="false" customHeight="false" outlineLevel="0" collapsed="false">
      <c r="A27" s="19" t="n">
        <v>23</v>
      </c>
      <c r="B27" s="19" t="n">
        <v>4</v>
      </c>
      <c r="C27" s="19" t="n">
        <v>5</v>
      </c>
      <c r="D27" s="19" t="s">
        <v>97</v>
      </c>
      <c r="E27" s="20" t="s">
        <v>112</v>
      </c>
      <c r="F27" s="20" t="s">
        <v>117</v>
      </c>
      <c r="G27" s="19" t="s">
        <v>17</v>
      </c>
      <c r="H27" s="20" t="str">
        <f aca="false">IF(G27="Cả nhóm","Cả nhóm",IFERROR(INDEX('Tổng quan'!$C$5:$C$7,MATCH(G27,'Tổng quan'!$B$5:$B$7,0)),""))</f>
        <v>Người 3</v>
      </c>
      <c r="I27" s="20"/>
      <c r="J27" s="20" t="s">
        <v>118</v>
      </c>
      <c r="K27" s="21" t="n">
        <f aca="false">'Tổng quan'!$E$11+(B27-1)*7</f>
        <v>46328</v>
      </c>
      <c r="L27" s="21" t="n">
        <f aca="false">'Tổng quan'!$E$11+(C27-1)*7+4</f>
        <v>46339</v>
      </c>
      <c r="M27" s="22" t="inlineStr">
        <is>
          <t>Đang làm</t>
        </is>
      </c>
      <c r="N27" s="23" t="n">
        <v>90</v>
      </c>
      <c r="O27" s="24" t="inlineStr">
        <is>
          <t>21/10: gold/ml_features/cart_rain_{train_2016_2023,val_2024,test_2025}_v1.parquet + manifest: 22 đặc trưng chỉ từ Open-Meteo (giá trị tại t, trễ 3/6h, mưa 3/6/12/24h trước, TB 6h, biến thiên áp suất 3h/24h, giờ/tháng địa phương). 700.800 dòng = đúng số nhãn dùng được; thiếu giá trị chỉ ở 24 giờ đầu 2016 (192 dòng). Test chống rò rỉ, thiếu giờ, không lẫn vị trí. Do N1/N2 làm thay N3</t>
        </is>
      </c>
    </row>
    <row r="28" customFormat="false" ht="26.85" hidden="false" customHeight="false" outlineLevel="0" collapsed="false">
      <c r="A28" s="19" t="n">
        <v>24</v>
      </c>
      <c r="B28" s="19" t="n">
        <v>6</v>
      </c>
      <c r="C28" s="19" t="n">
        <v>7</v>
      </c>
      <c r="D28" s="19" t="s">
        <v>119</v>
      </c>
      <c r="E28" s="20" t="s">
        <v>120</v>
      </c>
      <c r="F28" s="20" t="s">
        <v>121</v>
      </c>
      <c r="G28" s="19" t="s">
        <v>11</v>
      </c>
      <c r="H28" s="20" t="str">
        <f aca="false">IF(G28="Cả nhóm","Cả nhóm",IFERROR(INDEX('Tổng quan'!$C$5:$C$7,MATCH(G28,'Tổng quan'!$B$5:$B$7,0)),""))</f>
        <v>Người 1</v>
      </c>
      <c r="I28" s="20"/>
      <c r="J28" s="20" t="s">
        <v>122</v>
      </c>
      <c r="K28" s="21" t="n">
        <f aca="false">'Tổng quan'!$E$11+(B28-1)*7</f>
        <v>46342</v>
      </c>
      <c r="L28" s="21" t="n">
        <f aca="false">'Tổng quan'!$E$11+(C28-1)*7+4</f>
        <v>46353</v>
      </c>
      <c r="M28" s="22" t="s">
        <v>62</v>
      </c>
      <c r="N28" s="23" t="n">
        <v>0</v>
      </c>
      <c r="O28" s="24"/>
    </row>
    <row r="29" customFormat="false" ht="15" hidden="false" customHeight="false" outlineLevel="0" collapsed="false">
      <c r="A29" s="19" t="n">
        <v>25</v>
      </c>
      <c r="B29" s="19" t="n">
        <v>6</v>
      </c>
      <c r="C29" s="19" t="n">
        <v>7</v>
      </c>
      <c r="D29" s="19" t="s">
        <v>119</v>
      </c>
      <c r="E29" s="20" t="s">
        <v>101</v>
      </c>
      <c r="F29" s="20" t="s">
        <v>123</v>
      </c>
      <c r="G29" s="19" t="s">
        <v>11</v>
      </c>
      <c r="H29" s="20" t="str">
        <f aca="false">IF(G29="Cả nhóm","Cả nhóm",IFERROR(INDEX('Tổng quan'!$C$5:$C$7,MATCH(G29,'Tổng quan'!$B$5:$B$7,0)),""))</f>
        <v>Người 1</v>
      </c>
      <c r="I29" s="20"/>
      <c r="J29" s="20" t="s">
        <v>124</v>
      </c>
      <c r="K29" s="21" t="n">
        <f aca="false">'Tổng quan'!$E$11+(B29-1)*7</f>
        <v>46342</v>
      </c>
      <c r="L29" s="21" t="n">
        <f aca="false">'Tổng quan'!$E$11+(C29-1)*7+4</f>
        <v>46353</v>
      </c>
      <c r="M29" s="22" t="s">
        <v>62</v>
      </c>
      <c r="N29" s="23" t="n">
        <v>0</v>
      </c>
      <c r="O29" s="24"/>
    </row>
    <row r="30" customFormat="false" ht="26.85" hidden="false" customHeight="false" outlineLevel="0" collapsed="false">
      <c r="A30" s="19" t="n">
        <v>26</v>
      </c>
      <c r="B30" s="19" t="n">
        <v>6</v>
      </c>
      <c r="C30" s="19" t="n">
        <v>7</v>
      </c>
      <c r="D30" s="19" t="s">
        <v>119</v>
      </c>
      <c r="E30" s="20" t="s">
        <v>66</v>
      </c>
      <c r="F30" s="20" t="s">
        <v>125</v>
      </c>
      <c r="G30" s="19" t="s">
        <v>11</v>
      </c>
      <c r="H30" s="20" t="str">
        <f aca="false">IF(G30="Cả nhóm","Cả nhóm",IFERROR(INDEX('Tổng quan'!$C$5:$C$7,MATCH(G30,'Tổng quan'!$B$5:$B$7,0)),""))</f>
        <v>Người 1</v>
      </c>
      <c r="I30" s="20" t="s">
        <v>14</v>
      </c>
      <c r="J30" s="20" t="s">
        <v>126</v>
      </c>
      <c r="K30" s="21" t="n">
        <f aca="false">'Tổng quan'!$E$11+(B30-1)*7</f>
        <v>46342</v>
      </c>
      <c r="L30" s="21" t="n">
        <f aca="false">'Tổng quan'!$E$11+(C30-1)*7+4</f>
        <v>46353</v>
      </c>
      <c r="M30" s="22" t="s">
        <v>62</v>
      </c>
      <c r="N30" s="23" t="n">
        <v>0</v>
      </c>
      <c r="O30" s="24"/>
    </row>
    <row r="31" customFormat="false" ht="26.85" hidden="false" customHeight="false" outlineLevel="0" collapsed="false">
      <c r="A31" s="19" t="n">
        <v>27</v>
      </c>
      <c r="B31" s="19" t="n">
        <v>6</v>
      </c>
      <c r="C31" s="19" t="n">
        <v>7</v>
      </c>
      <c r="D31" s="19" t="s">
        <v>119</v>
      </c>
      <c r="E31" s="20" t="s">
        <v>109</v>
      </c>
      <c r="F31" s="20" t="s">
        <v>127</v>
      </c>
      <c r="G31" s="19" t="s">
        <v>14</v>
      </c>
      <c r="H31" s="20" t="str">
        <f aca="false">IF(G31="Cả nhóm","Cả nhóm",IFERROR(INDEX('Tổng quan'!$C$5:$C$7,MATCH(G31,'Tổng quan'!$B$5:$B$7,0)),""))</f>
        <v>Người 2</v>
      </c>
      <c r="I31" s="20"/>
      <c r="J31" s="20" t="s">
        <v>128</v>
      </c>
      <c r="K31" s="21" t="n">
        <f aca="false">'Tổng quan'!$E$11+(B31-1)*7</f>
        <v>46342</v>
      </c>
      <c r="L31" s="21" t="n">
        <f aca="false">'Tổng quan'!$E$11+(C31-1)*7+4</f>
        <v>46353</v>
      </c>
      <c r="M31" s="22" t="s">
        <v>62</v>
      </c>
      <c r="N31" s="23" t="n">
        <v>0</v>
      </c>
      <c r="O31" s="24"/>
    </row>
    <row r="32" customFormat="false" ht="26.85" hidden="false" customHeight="false" outlineLevel="0" collapsed="false">
      <c r="A32" s="19" t="n">
        <v>28</v>
      </c>
      <c r="B32" s="19" t="n">
        <v>6</v>
      </c>
      <c r="C32" s="19" t="n">
        <v>7</v>
      </c>
      <c r="D32" s="19" t="s">
        <v>119</v>
      </c>
      <c r="E32" s="20" t="s">
        <v>112</v>
      </c>
      <c r="F32" s="20" t="s">
        <v>129</v>
      </c>
      <c r="G32" s="19" t="s">
        <v>17</v>
      </c>
      <c r="H32" s="20" t="str">
        <f aca="false">IF(G32="Cả nhóm","Cả nhóm",IFERROR(INDEX('Tổng quan'!$C$5:$C$7,MATCH(G32,'Tổng quan'!$B$5:$B$7,0)),""))</f>
        <v>Người 3</v>
      </c>
      <c r="I32" s="20"/>
      <c r="J32" s="20" t="s">
        <v>130</v>
      </c>
      <c r="K32" s="21" t="n">
        <f aca="false">'Tổng quan'!$E$11+(B32-1)*7</f>
        <v>46342</v>
      </c>
      <c r="L32" s="21" t="n">
        <f aca="false">'Tổng quan'!$E$11+(C32-1)*7+4</f>
        <v>46353</v>
      </c>
      <c r="M32" s="22" t="inlineStr">
        <is>
          <t>Đang làm</t>
        </is>
      </c>
      <c r="N32" s="23" t="n">
        <v>90</v>
      </c>
      <c r="O32" s="24" t="inlineStr">
        <is>
          <t>21/10: gold/ml_models/cart_rain_next24h_v1 (model.joblib + report.json). Lưới 120 cấu hình fit trên train 2016-2023, chọn trên validation 2024 theo F1: max_depth=8, min_samples_leaf=50, class_weight=balanced, ccp_alpha=1e-4, 88 lá, ngưỡng xác suất 0,40. Validation: Precision 0,752 / Recall 0,822 / F1 0,786 (mốc dự báo theo hiện trạng F1 0,753). Chưa đọc tập test. Do N1/N2 làm thay N3</t>
        </is>
      </c>
    </row>
    <row r="33" customFormat="false" ht="26.85" hidden="false" customHeight="false" outlineLevel="0" collapsed="false">
      <c r="A33" s="19" t="n">
        <v>29</v>
      </c>
      <c r="B33" s="19" t="n">
        <v>6</v>
      </c>
      <c r="C33" s="19" t="n">
        <v>7</v>
      </c>
      <c r="D33" s="19" t="s">
        <v>119</v>
      </c>
      <c r="E33" s="20" t="s">
        <v>131</v>
      </c>
      <c r="F33" s="20" t="s">
        <v>132</v>
      </c>
      <c r="G33" s="19" t="s">
        <v>17</v>
      </c>
      <c r="H33" s="20" t="str">
        <f aca="false">IF(G33="Cả nhóm","Cả nhóm",IFERROR(INDEX('Tổng quan'!$C$5:$C$7,MATCH(G33,'Tổng quan'!$B$5:$B$7,0)),""))</f>
        <v>Người 3</v>
      </c>
      <c r="I33" s="20"/>
      <c r="J33" s="20" t="s">
        <v>133</v>
      </c>
      <c r="K33" s="21" t="n">
        <f aca="false">'Tổng quan'!$E$11+(B33-1)*7</f>
        <v>46342</v>
      </c>
      <c r="L33" s="21" t="n">
        <f aca="false">'Tổng quan'!$E$11+(C33-1)*7+4</f>
        <v>46353</v>
      </c>
      <c r="M33" s="22" t="inlineStr">
        <is>
          <t>Đang làm</t>
        </is>
      </c>
      <c r="N33" s="23" t="n">
        <v>90</v>
      </c>
      <c r="O33" s="24" t="inlineStr">
        <is>
          <t>21/10: đánh giá 1 lần trên test 2025 với model + ngưỡng 0,40 đã chốt từ validation (không chỉnh ngưỡng bằng test). 69.888/69.888 mẫu. TP 27.254 / FP 8.782 / TN 26.840 / FN 7.012; Accuracy 0,774, Precision 0,756, Recall 0,795, F1 0,775 (dự báo theo hiện trạng F1 0,726). Mùa mưa F1 0,835, mùa khô 0,621. gold/ml_models/cart_rain_next24h_v1/test_evaluation.json. Do N1/N2 làm thay N3</t>
        </is>
      </c>
    </row>
    <row r="34" customFormat="false" ht="15" hidden="false" customHeight="false" outlineLevel="0" collapsed="false">
      <c r="A34" s="19" t="n">
        <v>30</v>
      </c>
      <c r="B34" s="19" t="n">
        <v>6</v>
      </c>
      <c r="C34" s="19" t="n">
        <v>7</v>
      </c>
      <c r="D34" s="19" t="s">
        <v>119</v>
      </c>
      <c r="E34" s="20" t="s">
        <v>112</v>
      </c>
      <c r="F34" s="20" t="s">
        <v>134</v>
      </c>
      <c r="G34" s="19" t="s">
        <v>17</v>
      </c>
      <c r="H34" s="20" t="str">
        <f aca="false">IF(G34="Cả nhóm","Cả nhóm",IFERROR(INDEX('Tổng quan'!$C$5:$C$7,MATCH(G34,'Tổng quan'!$B$5:$B$7,0)),""))</f>
        <v>Người 3</v>
      </c>
      <c r="I34" s="20"/>
      <c r="J34" s="20" t="s">
        <v>135</v>
      </c>
      <c r="K34" s="21" t="n">
        <f aca="false">'Tổng quan'!$E$11+(B34-1)*7</f>
        <v>46342</v>
      </c>
      <c r="L34" s="21" t="n">
        <f aca="false">'Tổng quan'!$E$11+(C34-1)*7+4</f>
        <v>46353</v>
      </c>
      <c r="M34" s="22" t="s">
        <v>62</v>
      </c>
      <c r="N34" s="23" t="n">
        <v>0</v>
      </c>
      <c r="O34" s="24"/>
    </row>
    <row r="35" customFormat="false" ht="26.85" hidden="false" customHeight="false" outlineLevel="0" collapsed="false">
      <c r="A35" s="19" t="n">
        <v>31</v>
      </c>
      <c r="B35" s="19" t="n">
        <v>8</v>
      </c>
      <c r="C35" s="19" t="n">
        <v>8</v>
      </c>
      <c r="D35" s="19" t="s">
        <v>136</v>
      </c>
      <c r="E35" s="20" t="s">
        <v>137</v>
      </c>
      <c r="F35" s="20" t="s">
        <v>138</v>
      </c>
      <c r="G35" s="19" t="s">
        <v>17</v>
      </c>
      <c r="H35" s="20" t="str">
        <f aca="false">IF(G35="Cả nhóm","Cả nhóm",IFERROR(INDEX('Tổng quan'!$C$5:$C$7,MATCH(G35,'Tổng quan'!$B$5:$B$7,0)),""))</f>
        <v>Người 3</v>
      </c>
      <c r="I35" s="20" t="s">
        <v>14</v>
      </c>
      <c r="J35" s="20" t="s">
        <v>139</v>
      </c>
      <c r="K35" s="21" t="n">
        <f aca="false">'Tổng quan'!$E$11+(B35-1)*7</f>
        <v>46356</v>
      </c>
      <c r="L35" s="21" t="n">
        <f aca="false">'Tổng quan'!$E$11+(C35-1)*7+4</f>
        <v>46360</v>
      </c>
      <c r="M35" s="22" t="s">
        <v>62</v>
      </c>
      <c r="N35" s="23" t="n">
        <v>0</v>
      </c>
      <c r="O35" s="24"/>
    </row>
    <row r="36" customFormat="false" ht="15" hidden="false" customHeight="false" outlineLevel="0" collapsed="false">
      <c r="A36" s="19" t="n">
        <v>32</v>
      </c>
      <c r="B36" s="19" t="n">
        <v>8</v>
      </c>
      <c r="C36" s="19" t="n">
        <v>8</v>
      </c>
      <c r="D36" s="19" t="s">
        <v>136</v>
      </c>
      <c r="E36" s="20" t="s">
        <v>101</v>
      </c>
      <c r="F36" s="20" t="s">
        <v>140</v>
      </c>
      <c r="G36" s="19" t="s">
        <v>11</v>
      </c>
      <c r="H36" s="20" t="str">
        <f aca="false">IF(G36="Cả nhóm","Cả nhóm",IFERROR(INDEX('Tổng quan'!$C$5:$C$7,MATCH(G36,'Tổng quan'!$B$5:$B$7,0)),""))</f>
        <v>Người 1</v>
      </c>
      <c r="I36" s="20" t="s">
        <v>17</v>
      </c>
      <c r="J36" s="20" t="s">
        <v>141</v>
      </c>
      <c r="K36" s="21" t="n">
        <f aca="false">'Tổng quan'!$E$11+(B36-1)*7</f>
        <v>46356</v>
      </c>
      <c r="L36" s="21" t="n">
        <f aca="false">'Tổng quan'!$E$11+(C36-1)*7+4</f>
        <v>46360</v>
      </c>
      <c r="M36" s="22" t="s">
        <v>62</v>
      </c>
      <c r="N36" s="23" t="n">
        <v>0</v>
      </c>
      <c r="O36" s="24"/>
    </row>
    <row r="37" customFormat="false" ht="15" hidden="false" customHeight="false" outlineLevel="0" collapsed="false">
      <c r="A37" s="19" t="n">
        <v>33</v>
      </c>
      <c r="B37" s="19" t="n">
        <v>8</v>
      </c>
      <c r="C37" s="19" t="n">
        <v>8</v>
      </c>
      <c r="D37" s="19" t="s">
        <v>136</v>
      </c>
      <c r="E37" s="20" t="s">
        <v>109</v>
      </c>
      <c r="F37" s="20" t="s">
        <v>142</v>
      </c>
      <c r="G37" s="19" t="s">
        <v>14</v>
      </c>
      <c r="H37" s="20" t="str">
        <f aca="false">IF(G37="Cả nhóm","Cả nhóm",IFERROR(INDEX('Tổng quan'!$C$5:$C$7,MATCH(G37,'Tổng quan'!$B$5:$B$7,0)),""))</f>
        <v>Người 2</v>
      </c>
      <c r="I37" s="20" t="s">
        <v>17</v>
      </c>
      <c r="J37" s="20" t="s">
        <v>143</v>
      </c>
      <c r="K37" s="21" t="n">
        <f aca="false">'Tổng quan'!$E$11+(B37-1)*7</f>
        <v>46356</v>
      </c>
      <c r="L37" s="21" t="n">
        <f aca="false">'Tổng quan'!$E$11+(C37-1)*7+4</f>
        <v>46360</v>
      </c>
      <c r="M37" s="22" t="s">
        <v>62</v>
      </c>
      <c r="N37" s="23" t="n">
        <v>0</v>
      </c>
      <c r="O37" s="24"/>
    </row>
    <row r="38" customFormat="false" ht="15" hidden="false" customHeight="false" outlineLevel="0" collapsed="false">
      <c r="A38" s="19" t="n">
        <v>34</v>
      </c>
      <c r="B38" s="19" t="n">
        <v>9</v>
      </c>
      <c r="C38" s="19" t="n">
        <v>9</v>
      </c>
      <c r="D38" s="19" t="s">
        <v>144</v>
      </c>
      <c r="E38" s="20" t="s">
        <v>145</v>
      </c>
      <c r="F38" s="20" t="s">
        <v>146</v>
      </c>
      <c r="G38" s="19" t="s">
        <v>11</v>
      </c>
      <c r="H38" s="20" t="str">
        <f aca="false">IF(G38="Cả nhóm","Cả nhóm",IFERROR(INDEX('Tổng quan'!$C$5:$C$7,MATCH(G38,'Tổng quan'!$B$5:$B$7,0)),""))</f>
        <v>Người 1</v>
      </c>
      <c r="I38" s="20"/>
      <c r="J38" s="20" t="s">
        <v>147</v>
      </c>
      <c r="K38" s="21" t="n">
        <f aca="false">'Tổng quan'!$E$11+(B38-1)*7</f>
        <v>46363</v>
      </c>
      <c r="L38" s="21" t="n">
        <f aca="false">'Tổng quan'!$E$11+(C38-1)*7+4</f>
        <v>46367</v>
      </c>
      <c r="M38" s="22" t="s">
        <v>62</v>
      </c>
      <c r="N38" s="23" t="n">
        <v>0</v>
      </c>
      <c r="O38" s="24"/>
    </row>
    <row r="39" customFormat="false" ht="15" hidden="false" customHeight="false" outlineLevel="0" collapsed="false">
      <c r="A39" s="19" t="n">
        <v>35</v>
      </c>
      <c r="B39" s="19" t="n">
        <v>9</v>
      </c>
      <c r="C39" s="19" t="n">
        <v>9</v>
      </c>
      <c r="D39" s="19" t="s">
        <v>144</v>
      </c>
      <c r="E39" s="20" t="s">
        <v>145</v>
      </c>
      <c r="F39" s="20" t="s">
        <v>148</v>
      </c>
      <c r="G39" s="19" t="s">
        <v>14</v>
      </c>
      <c r="H39" s="20" t="str">
        <f aca="false">IF(G39="Cả nhóm","Cả nhóm",IFERROR(INDEX('Tổng quan'!$C$5:$C$7,MATCH(G39,'Tổng quan'!$B$5:$B$7,0)),""))</f>
        <v>Người 2</v>
      </c>
      <c r="I39" s="20"/>
      <c r="J39" s="20" t="s">
        <v>149</v>
      </c>
      <c r="K39" s="21" t="n">
        <f aca="false">'Tổng quan'!$E$11+(B39-1)*7</f>
        <v>46363</v>
      </c>
      <c r="L39" s="21" t="n">
        <f aca="false">'Tổng quan'!$E$11+(C39-1)*7+4</f>
        <v>46367</v>
      </c>
      <c r="M39" s="22" t="s">
        <v>62</v>
      </c>
      <c r="N39" s="23" t="n">
        <v>0</v>
      </c>
      <c r="O39" s="24"/>
    </row>
    <row r="40" customFormat="false" ht="15" hidden="false" customHeight="false" outlineLevel="0" collapsed="false">
      <c r="A40" s="19" t="n">
        <v>36</v>
      </c>
      <c r="B40" s="19" t="n">
        <v>9</v>
      </c>
      <c r="C40" s="19" t="n">
        <v>9</v>
      </c>
      <c r="D40" s="19" t="s">
        <v>144</v>
      </c>
      <c r="E40" s="20" t="s">
        <v>131</v>
      </c>
      <c r="F40" s="20" t="s">
        <v>150</v>
      </c>
      <c r="G40" s="19" t="s">
        <v>17</v>
      </c>
      <c r="H40" s="20" t="str">
        <f aca="false">IF(G40="Cả nhóm","Cả nhóm",IFERROR(INDEX('Tổng quan'!$C$5:$C$7,MATCH(G40,'Tổng quan'!$B$5:$B$7,0)),""))</f>
        <v>Người 3</v>
      </c>
      <c r="I40" s="20"/>
      <c r="J40" s="20" t="s">
        <v>151</v>
      </c>
      <c r="K40" s="21" t="n">
        <f aca="false">'Tổng quan'!$E$11+(B40-1)*7</f>
        <v>46363</v>
      </c>
      <c r="L40" s="21" t="n">
        <f aca="false">'Tổng quan'!$E$11+(C40-1)*7+4</f>
        <v>46367</v>
      </c>
      <c r="M40" s="22" t="s">
        <v>62</v>
      </c>
      <c r="N40" s="23" t="n">
        <v>0</v>
      </c>
      <c r="O40" s="24"/>
    </row>
    <row r="41" customFormat="false" ht="15" hidden="false" customHeight="false" outlineLevel="0" collapsed="false">
      <c r="A41" s="19" t="n">
        <v>37</v>
      </c>
      <c r="B41" s="19" t="n">
        <v>10</v>
      </c>
      <c r="C41" s="19" t="n">
        <v>10</v>
      </c>
      <c r="D41" s="19" t="s">
        <v>152</v>
      </c>
      <c r="E41" s="20" t="s">
        <v>153</v>
      </c>
      <c r="F41" s="20" t="s">
        <v>154</v>
      </c>
      <c r="G41" s="19" t="s">
        <v>11</v>
      </c>
      <c r="H41" s="20" t="str">
        <f aca="false">IF(G41="Cả nhóm","Cả nhóm",IFERROR(INDEX('Tổng quan'!$C$5:$C$7,MATCH(G41,'Tổng quan'!$B$5:$B$7,0)),""))</f>
        <v>Người 1</v>
      </c>
      <c r="I41" s="20"/>
      <c r="J41" s="20"/>
      <c r="K41" s="21" t="n">
        <f aca="false">'Tổng quan'!$E$11+(B41-1)*7</f>
        <v>46370</v>
      </c>
      <c r="L41" s="21" t="n">
        <f aca="false">'Tổng quan'!$E$11+(C41-1)*7+4</f>
        <v>46374</v>
      </c>
      <c r="M41" s="22" t="s">
        <v>62</v>
      </c>
      <c r="N41" s="23" t="n">
        <v>0</v>
      </c>
      <c r="O41" s="24"/>
    </row>
    <row r="42" customFormat="false" ht="15" hidden="false" customHeight="false" outlineLevel="0" collapsed="false">
      <c r="A42" s="19" t="n">
        <v>38</v>
      </c>
      <c r="B42" s="19" t="n">
        <v>10</v>
      </c>
      <c r="C42" s="19" t="n">
        <v>10</v>
      </c>
      <c r="D42" s="19" t="s">
        <v>152</v>
      </c>
      <c r="E42" s="20" t="s">
        <v>153</v>
      </c>
      <c r="F42" s="20" t="s">
        <v>155</v>
      </c>
      <c r="G42" s="19" t="s">
        <v>14</v>
      </c>
      <c r="H42" s="20" t="str">
        <f aca="false">IF(G42="Cả nhóm","Cả nhóm",IFERROR(INDEX('Tổng quan'!$C$5:$C$7,MATCH(G42,'Tổng quan'!$B$5:$B$7,0)),""))</f>
        <v>Người 2</v>
      </c>
      <c r="I42" s="20"/>
      <c r="J42" s="20"/>
      <c r="K42" s="21" t="n">
        <f aca="false">'Tổng quan'!$E$11+(B42-1)*7</f>
        <v>46370</v>
      </c>
      <c r="L42" s="21" t="n">
        <f aca="false">'Tổng quan'!$E$11+(C42-1)*7+4</f>
        <v>46374</v>
      </c>
      <c r="M42" s="22" t="s">
        <v>62</v>
      </c>
      <c r="N42" s="23" t="n">
        <v>0</v>
      </c>
      <c r="O42" s="24"/>
    </row>
    <row r="43" customFormat="false" ht="15" hidden="false" customHeight="false" outlineLevel="0" collapsed="false">
      <c r="A43" s="19" t="n">
        <v>39</v>
      </c>
      <c r="B43" s="19" t="n">
        <v>10</v>
      </c>
      <c r="C43" s="19" t="n">
        <v>10</v>
      </c>
      <c r="D43" s="19" t="s">
        <v>152</v>
      </c>
      <c r="E43" s="20" t="s">
        <v>153</v>
      </c>
      <c r="F43" s="20" t="s">
        <v>156</v>
      </c>
      <c r="G43" s="19" t="s">
        <v>17</v>
      </c>
      <c r="H43" s="20" t="str">
        <f aca="false">IF(G43="Cả nhóm","Cả nhóm",IFERROR(INDEX('Tổng quan'!$C$5:$C$7,MATCH(G43,'Tổng quan'!$B$5:$B$7,0)),""))</f>
        <v>Người 3</v>
      </c>
      <c r="I43" s="20"/>
      <c r="J43" s="20"/>
      <c r="K43" s="21" t="n">
        <f aca="false">'Tổng quan'!$E$11+(B43-1)*7</f>
        <v>46370</v>
      </c>
      <c r="L43" s="21" t="n">
        <f aca="false">'Tổng quan'!$E$11+(C43-1)*7+4</f>
        <v>46374</v>
      </c>
      <c r="M43" s="22" t="s">
        <v>62</v>
      </c>
      <c r="N43" s="23" t="n">
        <v>0</v>
      </c>
      <c r="O43" s="24"/>
    </row>
    <row r="44" customFormat="false" ht="15" hidden="false" customHeight="false" outlineLevel="0" collapsed="false">
      <c r="A44" s="19" t="n">
        <v>40</v>
      </c>
      <c r="B44" s="19" t="n">
        <v>10</v>
      </c>
      <c r="C44" s="19" t="n">
        <v>10</v>
      </c>
      <c r="D44" s="19" t="s">
        <v>152</v>
      </c>
      <c r="E44" s="20" t="s">
        <v>153</v>
      </c>
      <c r="F44" s="20" t="s">
        <v>157</v>
      </c>
      <c r="G44" s="19" t="s">
        <v>20</v>
      </c>
      <c r="H44" s="20" t="str">
        <f aca="false">IF(G44="Cả nhóm","Cả nhóm",IFERROR(INDEX('Tổng quan'!$C$5:$C$7,MATCH(G44,'Tổng quan'!$B$5:$B$7,0)),""))</f>
        <v>Cả nhóm</v>
      </c>
      <c r="I44" s="20"/>
      <c r="J44" s="20" t="s">
        <v>158</v>
      </c>
      <c r="K44" s="21" t="n">
        <f aca="false">'Tổng quan'!$E$11+(B44-1)*7</f>
        <v>46370</v>
      </c>
      <c r="L44" s="21" t="n">
        <f aca="false">'Tổng quan'!$E$11+(C44-1)*7+4</f>
        <v>46374</v>
      </c>
      <c r="M44" s="22" t="s">
        <v>62</v>
      </c>
      <c r="N44" s="23" t="n">
        <v>0</v>
      </c>
      <c r="O44" s="24"/>
    </row>
  </sheetData>
  <autoFilter ref="A4:O44"/>
  <conditionalFormatting sqref="A5:O44">
    <cfRule type="expression" priority="2" aboveAverage="0" equalAverage="0" bottom="0" percent="0" rank="0" text="" dxfId="4">
      <formula>$M5="Hoàn thành"</formula>
    </cfRule>
    <cfRule type="expression" priority="3" aboveAverage="0" equalAverage="0" bottom="0" percent="0" rank="0" text="" dxfId="5">
      <formula>$M5="Bị chặn"</formula>
    </cfRule>
    <cfRule type="expression" priority="4" aboveAverage="0" equalAverage="0" bottom="0" percent="0" rank="0" text="" dxfId="6">
      <formula>AND($M5&lt;&gt;"Hoàn thành",$L5&lt;TODAY())</formula>
    </cfRule>
    <cfRule type="expression" priority="5" aboveAverage="0" equalAverage="0" bottom="0" percent="0" rank="0" text="" dxfId="7">
      <formula>$M5="Đang làm"</formula>
    </cfRule>
  </conditionalFormatting>
  <dataValidations count="3">
    <dataValidation allowBlank="true" errorStyle="stop" operator="between" showDropDown="false" showErrorMessage="false" showInputMessage="false" sqref="M5:M200" type="list">
      <formula1>"Chưa bắt đầu,Đang làm,Hoàn thành,Bị chặn"</formula1>
      <formula2>0</formula2>
    </dataValidation>
    <dataValidation allowBlank="true" errorStyle="stop" operator="between" showDropDown="false" showErrorMessage="false" showInputMessage="false" sqref="G5:G200" type="list">
      <formula1>"N1,N2,N3,Cả nhóm"</formula1>
      <formula2>0</formula2>
    </dataValidation>
    <dataValidation allowBlank="true" error="Nhập từ 0% đến 100%" errorStyle="stop" operator="between" showDropDown="false" showErrorMessage="false" showInputMessage="false" sqref="N5:N2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42"/>
  </cols>
  <sheetData>
    <row r="1" customFormat="false" ht="17.35" hidden="false" customHeight="false" outlineLevel="0" collapsed="false">
      <c r="A1" s="1" t="s">
        <v>159</v>
      </c>
    </row>
    <row r="3" customFormat="false" ht="15" hidden="false" customHeight="false" outlineLevel="0" collapsed="false">
      <c r="A3" s="3" t="s">
        <v>50</v>
      </c>
      <c r="B3" s="3" t="s">
        <v>160</v>
      </c>
      <c r="C3" s="3" t="s">
        <v>161</v>
      </c>
      <c r="D3" s="3" t="s">
        <v>162</v>
      </c>
    </row>
    <row r="4" customFormat="false" ht="26.85" hidden="false" customHeight="false" outlineLevel="0" collapsed="false">
      <c r="A4" s="25" t="s">
        <v>59</v>
      </c>
      <c r="B4" s="20" t="s">
        <v>163</v>
      </c>
      <c r="C4" s="20" t="s">
        <v>164</v>
      </c>
      <c r="D4" s="20" t="s">
        <v>165</v>
      </c>
    </row>
    <row r="5" customFormat="false" ht="26.85" hidden="false" customHeight="false" outlineLevel="0" collapsed="false">
      <c r="A5" s="25" t="s">
        <v>69</v>
      </c>
      <c r="B5" s="20" t="s">
        <v>166</v>
      </c>
      <c r="C5" s="20" t="s">
        <v>167</v>
      </c>
      <c r="D5" s="20" t="s">
        <v>168</v>
      </c>
    </row>
    <row r="6" customFormat="false" ht="26.85" hidden="false" customHeight="false" outlineLevel="0" collapsed="false">
      <c r="A6" s="25" t="s">
        <v>169</v>
      </c>
      <c r="B6" s="20" t="s">
        <v>170</v>
      </c>
      <c r="C6" s="20" t="s">
        <v>171</v>
      </c>
      <c r="D6" s="20" t="s">
        <v>172</v>
      </c>
    </row>
    <row r="7" customFormat="false" ht="26.85" hidden="false" customHeight="false" outlineLevel="0" collapsed="false">
      <c r="A7" s="25" t="s">
        <v>173</v>
      </c>
      <c r="B7" s="20" t="s">
        <v>174</v>
      </c>
      <c r="C7" s="20" t="s">
        <v>175</v>
      </c>
      <c r="D7" s="20" t="s">
        <v>176</v>
      </c>
    </row>
    <row r="8" customFormat="false" ht="26.85" hidden="false" customHeight="false" outlineLevel="0" collapsed="false">
      <c r="A8" s="25" t="s">
        <v>177</v>
      </c>
      <c r="B8" s="20" t="s">
        <v>178</v>
      </c>
      <c r="C8" s="20" t="s">
        <v>179</v>
      </c>
      <c r="D8" s="20" t="s">
        <v>180</v>
      </c>
    </row>
    <row r="9" customFormat="false" ht="15" hidden="false" customHeight="false" outlineLevel="0" collapsed="false">
      <c r="A9" s="25" t="s">
        <v>153</v>
      </c>
      <c r="B9" s="20" t="s">
        <v>181</v>
      </c>
      <c r="C9" s="20" t="s">
        <v>182</v>
      </c>
      <c r="D9" s="2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5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25"/>
  </cols>
  <sheetData>
    <row r="1" customFormat="false" ht="17.35" hidden="false" customHeight="false" outlineLevel="0" collapsed="false">
      <c r="A1" s="1" t="s">
        <v>184</v>
      </c>
    </row>
    <row r="3" customFormat="false" ht="26.85" hidden="false" customHeight="false" outlineLevel="0" collapsed="false">
      <c r="A3" s="3" t="s">
        <v>185</v>
      </c>
      <c r="B3" s="3" t="s">
        <v>186</v>
      </c>
      <c r="C3" s="3" t="s">
        <v>187</v>
      </c>
      <c r="D3" s="3" t="s">
        <v>39</v>
      </c>
      <c r="E3" s="3" t="s">
        <v>37</v>
      </c>
      <c r="F3" s="3" t="s">
        <v>57</v>
      </c>
    </row>
    <row r="4" customFormat="false" ht="26.85" hidden="false" customHeight="false" outlineLevel="0" collapsed="false">
      <c r="A4" s="26" t="s">
        <v>188</v>
      </c>
      <c r="B4" s="20" t="s">
        <v>189</v>
      </c>
      <c r="C4" s="20" t="s">
        <v>190</v>
      </c>
      <c r="D4" s="19" t="s">
        <v>17</v>
      </c>
      <c r="E4" s="22" t="s">
        <v>191</v>
      </c>
      <c r="F4" s="24"/>
    </row>
    <row r="5" customFormat="false" ht="26.85" hidden="false" customHeight="false" outlineLevel="0" collapsed="false">
      <c r="A5" s="26" t="s">
        <v>192</v>
      </c>
      <c r="B5" s="20" t="s">
        <v>193</v>
      </c>
      <c r="C5" s="20" t="s">
        <v>194</v>
      </c>
      <c r="D5" s="19" t="s">
        <v>17</v>
      </c>
      <c r="E5" s="22" t="s">
        <v>191</v>
      </c>
      <c r="F5" s="24"/>
    </row>
    <row r="6" customFormat="false" ht="26.85" hidden="false" customHeight="false" outlineLevel="0" collapsed="false">
      <c r="A6" s="26" t="s">
        <v>195</v>
      </c>
      <c r="B6" s="20" t="s">
        <v>196</v>
      </c>
      <c r="C6" s="20" t="s">
        <v>197</v>
      </c>
      <c r="D6" s="19" t="s">
        <v>11</v>
      </c>
      <c r="E6" s="22" t="s">
        <v>191</v>
      </c>
      <c r="F6" s="24"/>
    </row>
    <row r="7" customFormat="false" ht="26.85" hidden="false" customHeight="false" outlineLevel="0" collapsed="false">
      <c r="A7" s="26" t="s">
        <v>198</v>
      </c>
      <c r="B7" s="20" t="s">
        <v>199</v>
      </c>
      <c r="C7" s="20" t="s">
        <v>200</v>
      </c>
      <c r="D7" s="19" t="s">
        <v>14</v>
      </c>
      <c r="E7" s="22" t="s">
        <v>191</v>
      </c>
      <c r="F7" s="24"/>
    </row>
    <row r="8" customFormat="false" ht="26.85" hidden="false" customHeight="false" outlineLevel="0" collapsed="false">
      <c r="A8" s="26" t="s">
        <v>201</v>
      </c>
      <c r="B8" s="20" t="s">
        <v>202</v>
      </c>
      <c r="C8" s="20" t="s">
        <v>203</v>
      </c>
      <c r="D8" s="19" t="s">
        <v>11</v>
      </c>
      <c r="E8" s="22" t="s">
        <v>191</v>
      </c>
      <c r="F8" s="24"/>
    </row>
    <row r="9" customFormat="false" ht="39.55" hidden="false" customHeight="false" outlineLevel="0" collapsed="false">
      <c r="A9" s="26" t="s">
        <v>204</v>
      </c>
      <c r="B9" s="20" t="s">
        <v>205</v>
      </c>
      <c r="C9" s="20" t="s">
        <v>206</v>
      </c>
      <c r="D9" s="19" t="s">
        <v>14</v>
      </c>
      <c r="E9" s="22" t="s">
        <v>191</v>
      </c>
      <c r="F9" s="24"/>
    </row>
    <row r="10" customFormat="false" ht="26.85" hidden="false" customHeight="false" outlineLevel="0" collapsed="false">
      <c r="A10" s="26" t="s">
        <v>207</v>
      </c>
      <c r="B10" s="20" t="s">
        <v>208</v>
      </c>
      <c r="C10" s="20" t="s">
        <v>209</v>
      </c>
      <c r="D10" s="19" t="s">
        <v>20</v>
      </c>
      <c r="E10" s="22" t="s">
        <v>191</v>
      </c>
      <c r="F10" s="24"/>
    </row>
    <row r="11" customFormat="false" ht="26.85" hidden="false" customHeight="false" outlineLevel="0" collapsed="false">
      <c r="A11" s="26" t="s">
        <v>210</v>
      </c>
      <c r="B11" s="20" t="s">
        <v>211</v>
      </c>
      <c r="C11" s="20" t="s">
        <v>212</v>
      </c>
      <c r="D11" s="19" t="s">
        <v>17</v>
      </c>
      <c r="E11" s="22" t="s">
        <v>191</v>
      </c>
      <c r="F11" s="24"/>
    </row>
    <row r="12" customFormat="false" ht="26.85" hidden="false" customHeight="false" outlineLevel="0" collapsed="false">
      <c r="A12" s="26" t="s">
        <v>213</v>
      </c>
      <c r="B12" s="20" t="s">
        <v>214</v>
      </c>
      <c r="C12" s="20" t="s">
        <v>215</v>
      </c>
      <c r="D12" s="19" t="s">
        <v>17</v>
      </c>
      <c r="E12" s="22" t="s">
        <v>191</v>
      </c>
      <c r="F12" s="24"/>
    </row>
    <row r="13" customFormat="false" ht="26.85" hidden="false" customHeight="false" outlineLevel="0" collapsed="false">
      <c r="A13" s="26" t="s">
        <v>59</v>
      </c>
      <c r="B13" s="20" t="s">
        <v>216</v>
      </c>
      <c r="C13" s="20" t="s">
        <v>217</v>
      </c>
      <c r="D13" s="19" t="s">
        <v>11</v>
      </c>
      <c r="E13" s="22" t="s">
        <v>191</v>
      </c>
      <c r="F13" s="24"/>
    </row>
  </sheetData>
  <dataValidations count="2">
    <dataValidation allowBlank="true" errorStyle="stop" operator="between" showDropDown="false" showErrorMessage="false" showInputMessage="false" sqref="E4:E50" type="list">
      <formula1>"Đang theo dõi,Đã xử lý,Đã xảy ra"</formula1>
      <formula2>0</formula2>
    </dataValidation>
    <dataValidation allowBlank="true" errorStyle="stop" operator="between" showDropDown="false" showErrorMessage="false" showInputMessage="false" sqref="D4:D50" type="list">
      <formula1>"N1,N2,N3,Cả nhóm"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2026-10-06T07:20:39Z</dcterms:created>
  <dc:creator>openpyxl</dc:creator>
  <dc:description/>
  <dc:language>en-US</dc:language>
  <cp:lastModifiedBy/>
  <dcterms:modified xsi:type="dcterms:W3CDTF">2026-10-06T07:20:39Z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